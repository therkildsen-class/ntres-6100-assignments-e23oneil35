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479FD609EFEC2C/Documents/"/>
    </mc:Choice>
  </mc:AlternateContent>
  <xr:revisionPtr revIDLastSave="9387" documentId="8_{D754CF61-35CD-4596-AEA5-27DB63633097}" xr6:coauthVersionLast="47" xr6:coauthVersionMax="47" xr10:uidLastSave="{529A1140-64AE-44D1-8A90-EE62AD6FA9B4}"/>
  <bookViews>
    <workbookView xWindow="-110" yWindow="-110" windowWidth="19420" windowHeight="11500" xr2:uid="{455EA3E3-BFBC-40AE-B85F-2534D29B8944}"/>
  </bookViews>
  <sheets>
    <sheet name="Sep. 2025" sheetId="2" r:id="rId1"/>
  </sheets>
  <definedNames>
    <definedName name="_xlnm._FilterDatabase" localSheetId="0" hidden="1">'Sep. 2025'!$A$1:$BJ$86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5" i="2" l="1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87" i="2"/>
  <c r="AA34" i="2"/>
  <c r="AA25" i="2"/>
  <c r="AA24" i="2"/>
  <c r="AA33" i="2"/>
  <c r="AA35" i="2"/>
  <c r="AA36" i="2"/>
  <c r="AA37" i="2"/>
  <c r="AA38" i="2"/>
  <c r="AA44" i="2"/>
  <c r="AA70" i="2"/>
  <c r="AA17" i="2"/>
  <c r="AA18" i="2"/>
  <c r="AA19" i="2"/>
  <c r="AA20" i="2"/>
  <c r="AA21" i="2"/>
  <c r="AA22" i="2"/>
  <c r="AA23" i="2"/>
  <c r="AA26" i="2"/>
  <c r="AA27" i="2"/>
  <c r="AA28" i="2"/>
  <c r="AA29" i="2"/>
  <c r="AA30" i="2"/>
  <c r="AA31" i="2"/>
  <c r="AA32" i="2"/>
  <c r="AA79" i="2"/>
  <c r="AA80" i="2"/>
  <c r="AA81" i="2"/>
  <c r="AA82" i="2"/>
  <c r="AA2" i="2"/>
  <c r="AA3" i="2"/>
  <c r="AA4" i="2"/>
  <c r="AA5" i="2"/>
  <c r="AA14" i="2"/>
  <c r="AA15" i="2"/>
  <c r="AA16" i="2"/>
  <c r="AA45" i="2"/>
  <c r="AA46" i="2"/>
  <c r="AA83" i="2"/>
  <c r="AA84" i="2"/>
  <c r="AA85" i="2"/>
  <c r="AA86" i="2"/>
  <c r="AA47" i="2"/>
  <c r="AA48" i="2"/>
  <c r="AA49" i="2"/>
  <c r="AA50" i="2"/>
  <c r="AA43" i="2"/>
  <c r="AA39" i="2"/>
  <c r="AA40" i="2"/>
  <c r="AA41" i="2"/>
  <c r="AA42" i="2"/>
  <c r="AA7" i="2"/>
  <c r="AA8" i="2"/>
  <c r="AA9" i="2"/>
  <c r="AA71" i="2"/>
  <c r="AA72" i="2"/>
  <c r="AA73" i="2"/>
  <c r="AA74" i="2"/>
  <c r="AA76" i="2"/>
  <c r="AA77" i="2"/>
  <c r="AA78" i="2"/>
  <c r="AA12" i="2"/>
  <c r="AA13" i="2"/>
  <c r="AA6" i="2"/>
  <c r="AA61" i="2"/>
  <c r="AA62" i="2"/>
  <c r="AA63" i="2"/>
  <c r="AA64" i="2"/>
  <c r="AA65" i="2"/>
  <c r="AA66" i="2"/>
  <c r="AA67" i="2"/>
  <c r="AA68" i="2"/>
  <c r="AA69" i="2"/>
  <c r="AA10" i="2"/>
  <c r="AA11" i="2"/>
  <c r="AA51" i="2"/>
  <c r="AA52" i="2"/>
  <c r="AA53" i="2"/>
  <c r="AA54" i="2"/>
  <c r="AA55" i="2"/>
  <c r="AA56" i="2"/>
  <c r="AA57" i="2"/>
  <c r="AA58" i="2"/>
  <c r="AA59" i="2"/>
  <c r="AA60" i="2"/>
</calcChain>
</file>

<file path=xl/sharedStrings.xml><?xml version="1.0" encoding="utf-8"?>
<sst xmlns="http://schemas.openxmlformats.org/spreadsheetml/2006/main" count="2571" uniqueCount="594">
  <si>
    <t>Sampler</t>
  </si>
  <si>
    <t>BK Name</t>
  </si>
  <si>
    <t>BK ID</t>
  </si>
  <si>
    <t>Operation Scale</t>
  </si>
  <si>
    <t>Date</t>
  </si>
  <si>
    <t>New Yard?</t>
  </si>
  <si>
    <t>Apiary Name</t>
  </si>
  <si>
    <t>Apiary Address</t>
  </si>
  <si>
    <t>Town</t>
  </si>
  <si>
    <t>State</t>
  </si>
  <si>
    <t>ZIP</t>
  </si>
  <si>
    <t>Latitude</t>
  </si>
  <si>
    <t>Longitude</t>
  </si>
  <si>
    <t>Colonies in Apiary</t>
  </si>
  <si>
    <t>Colony ID</t>
  </si>
  <si>
    <t>Bottle #</t>
  </si>
  <si>
    <t>Wax #</t>
  </si>
  <si>
    <t>Colony Type</t>
  </si>
  <si>
    <t>Deeps</t>
  </si>
  <si>
    <t>Meds</t>
  </si>
  <si>
    <t>Shallows</t>
  </si>
  <si>
    <t>Excluder?</t>
  </si>
  <si>
    <t>D. Super</t>
  </si>
  <si>
    <t>M. Super</t>
  </si>
  <si>
    <t>S. Super</t>
  </si>
  <si>
    <t>Frames (in brood box)</t>
  </si>
  <si>
    <t>Frames of Bees</t>
  </si>
  <si>
    <t>Deep FoB</t>
  </si>
  <si>
    <t>Med FoB</t>
  </si>
  <si>
    <t>Shal FoB</t>
  </si>
  <si>
    <t>Queen Status</t>
  </si>
  <si>
    <t>Brood Pattern</t>
  </si>
  <si>
    <t>Visible Varroa</t>
  </si>
  <si>
    <t>Wax Moth Adult</t>
  </si>
  <si>
    <t>Wax Moth Larvae</t>
  </si>
  <si>
    <t>Small Hive Beetle Adult</t>
  </si>
  <si>
    <t>Small Hive Beetle Larvae</t>
  </si>
  <si>
    <t>Chalk brood</t>
  </si>
  <si>
    <t>Sac Brood</t>
  </si>
  <si>
    <t>PMS</t>
  </si>
  <si>
    <t>AFB</t>
  </si>
  <si>
    <t>EFB</t>
  </si>
  <si>
    <t>DWV</t>
  </si>
  <si>
    <t>Perforated Cappings</t>
  </si>
  <si>
    <t>Bald Brood</t>
  </si>
  <si>
    <t>Chewed-Down Brood</t>
  </si>
  <si>
    <t>Shiny Bees</t>
  </si>
  <si>
    <t>Entombed Pollen</t>
  </si>
  <si>
    <t>Capped Pollen</t>
  </si>
  <si>
    <t>Curled Larvae</t>
  </si>
  <si>
    <t>Slumped Larvae</t>
  </si>
  <si>
    <t>Other</t>
  </si>
  <si>
    <t>varroa_in_sample</t>
  </si>
  <si>
    <t>bee_weight_100</t>
  </si>
  <si>
    <t>bee_weight_remaining</t>
  </si>
  <si>
    <t>total_bee_mass</t>
  </si>
  <si>
    <t>bee_count_estimated</t>
  </si>
  <si>
    <t>drones_in_sample</t>
  </si>
  <si>
    <t>queens_in_sample</t>
  </si>
  <si>
    <t>varroa_per_100_bees</t>
  </si>
  <si>
    <t>total_nosema_spores</t>
  </si>
  <si>
    <t>million_spores_per_bee</t>
  </si>
  <si>
    <t>EO/RC</t>
  </si>
  <si>
    <t>Aran Lang</t>
  </si>
  <si>
    <t>BM2-NY</t>
  </si>
  <si>
    <t>Sideliner</t>
  </si>
  <si>
    <t>No</t>
  </si>
  <si>
    <t>BM2 Rickard Rd.</t>
  </si>
  <si>
    <t>2631 Rickard Road</t>
  </si>
  <si>
    <t>Skaneateles</t>
  </si>
  <si>
    <t>NY</t>
  </si>
  <si>
    <t>42°53'54.5"N</t>
  </si>
  <si>
    <t>76°22'40.4"W</t>
  </si>
  <si>
    <t>H205</t>
  </si>
  <si>
    <t>Field</t>
  </si>
  <si>
    <t>Yes</t>
  </si>
  <si>
    <t>QR</t>
  </si>
  <si>
    <t>some shotgun brood</t>
  </si>
  <si>
    <t>G236</t>
  </si>
  <si>
    <t>Good!</t>
  </si>
  <si>
    <t>H208</t>
  </si>
  <si>
    <t>H207</t>
  </si>
  <si>
    <t>Brain Moon</t>
  </si>
  <si>
    <t>CN2-NY</t>
  </si>
  <si>
    <t>CN2 Clinton Hollow Rd.</t>
  </si>
  <si>
    <t>336 Clinton Ave</t>
  </si>
  <si>
    <t xml:space="preserve">Salt Point </t>
  </si>
  <si>
    <t>41°49'11.0"N</t>
  </si>
  <si>
    <t>73°49'34.3"W</t>
  </si>
  <si>
    <t>I149</t>
  </si>
  <si>
    <t>Very small population, some bald brood, most likely due to small pop.</t>
  </si>
  <si>
    <t>I150</t>
  </si>
  <si>
    <t>Looks good!</t>
  </si>
  <si>
    <t>I151</t>
  </si>
  <si>
    <t>looked good.</t>
  </si>
  <si>
    <t>I152</t>
  </si>
  <si>
    <t xml:space="preserve">Chris Layman </t>
  </si>
  <si>
    <t>DM-NY</t>
  </si>
  <si>
    <t>DM Shookville Rd</t>
  </si>
  <si>
    <t>214 Shookville Rd</t>
  </si>
  <si>
    <t>Red Hook</t>
  </si>
  <si>
    <t>41°59'21.7"N</t>
  </si>
  <si>
    <t>73°48'24.3"W</t>
  </si>
  <si>
    <t>I161</t>
  </si>
  <si>
    <t>Looked great! QS</t>
  </si>
  <si>
    <t>I162</t>
  </si>
  <si>
    <t xml:space="preserve">Looks great! </t>
  </si>
  <si>
    <t>DM Alcove Rd</t>
  </si>
  <si>
    <t>401 Alcove Rd</t>
  </si>
  <si>
    <t>Hannacroix</t>
  </si>
  <si>
    <t>42°25'28.6"N</t>
  </si>
  <si>
    <t>73°54'55.0"W</t>
  </si>
  <si>
    <t>G257</t>
  </si>
  <si>
    <t>QL/NA</t>
  </si>
  <si>
    <t xml:space="preserve">Basically Dead, being robbed out, only drones left </t>
  </si>
  <si>
    <t>H243</t>
  </si>
  <si>
    <t>looks good overall.</t>
  </si>
  <si>
    <t xml:space="preserve"> </t>
  </si>
  <si>
    <t>David Peck</t>
  </si>
  <si>
    <t>EQ-NY</t>
  </si>
  <si>
    <t xml:space="preserve">Commerical </t>
  </si>
  <si>
    <t>EQ Teaching Apiary</t>
  </si>
  <si>
    <t>8 Meader Rd.</t>
  </si>
  <si>
    <t>Greenwich</t>
  </si>
  <si>
    <t>43°06'02.1"N</t>
  </si>
  <si>
    <t>73°30'39.3"W</t>
  </si>
  <si>
    <t>I172</t>
  </si>
  <si>
    <t>I171</t>
  </si>
  <si>
    <t>I195</t>
  </si>
  <si>
    <t>QNS/NA</t>
  </si>
  <si>
    <t>New split or requeening? all old brood. New tag.</t>
  </si>
  <si>
    <t>I173</t>
  </si>
  <si>
    <t>Melted Larvae</t>
  </si>
  <si>
    <t>I176</t>
  </si>
  <si>
    <t xml:space="preserve">Mean, QS </t>
  </si>
  <si>
    <t>G392</t>
  </si>
  <si>
    <t xml:space="preserve">Very spicy-think about requeening it </t>
  </si>
  <si>
    <t>I175</t>
  </si>
  <si>
    <t xml:space="preserve">Combined with G391, young brood and capped brood only, QS, thymol treatment on </t>
  </si>
  <si>
    <t>I178</t>
  </si>
  <si>
    <t>G386</t>
  </si>
  <si>
    <t>Possible PMS</t>
  </si>
  <si>
    <t>I177</t>
  </si>
  <si>
    <t>no eggs but saw the Queen, multiple mites on bees, DWV (moderate to heavy infection),hevay infestation of mites</t>
  </si>
  <si>
    <t>EQ Spraguetown Rd.</t>
  </si>
  <si>
    <t>884 Spraguetown Rd.</t>
  </si>
  <si>
    <t xml:space="preserve">43°09'20.3"N </t>
  </si>
  <si>
    <t>73°27'02.2"W</t>
  </si>
  <si>
    <t>I187</t>
  </si>
  <si>
    <t>I185</t>
  </si>
  <si>
    <t>I181</t>
  </si>
  <si>
    <t xml:space="preserve">Melted Larvae </t>
  </si>
  <si>
    <t>I189</t>
  </si>
  <si>
    <t>I188</t>
  </si>
  <si>
    <t>Looked great!</t>
  </si>
  <si>
    <t>I186</t>
  </si>
  <si>
    <t>Spicy!</t>
  </si>
  <si>
    <t>I182</t>
  </si>
  <si>
    <t>I184</t>
  </si>
  <si>
    <t>QL</t>
  </si>
  <si>
    <t>No brood, no eggs</t>
  </si>
  <si>
    <t>I183</t>
  </si>
  <si>
    <t>Queen seen.</t>
  </si>
  <si>
    <t>I196</t>
  </si>
  <si>
    <t xml:space="preserve">Melted larvae </t>
  </si>
  <si>
    <t>Dan Winter</t>
  </si>
  <si>
    <t>EX2-NY</t>
  </si>
  <si>
    <t>Commercial</t>
  </si>
  <si>
    <t>09/19/205</t>
  </si>
  <si>
    <t>EX2 Clyde Yard</t>
  </si>
  <si>
    <t>Rose, Wayne County, NY 14542</t>
  </si>
  <si>
    <t>Rose</t>
  </si>
  <si>
    <t>I140</t>
  </si>
  <si>
    <t>Looks fine but lots of mite damage, QS</t>
  </si>
  <si>
    <t>Rose, Wayne County, NY 14543</t>
  </si>
  <si>
    <t>I200</t>
  </si>
  <si>
    <t>Bad PMS-Heavy bald brood infection, tons of CDB, DWv</t>
  </si>
  <si>
    <t>Rose, Wayne County, NY 14544</t>
  </si>
  <si>
    <t>I199</t>
  </si>
  <si>
    <t>Shotgun brood</t>
  </si>
  <si>
    <t>Rose, Wayne County, NY 14545</t>
  </si>
  <si>
    <t>I141</t>
  </si>
  <si>
    <t>Shotgun brood, bad PMS</t>
  </si>
  <si>
    <t>Rose, Wayne County, NY 14546</t>
  </si>
  <si>
    <t>I98</t>
  </si>
  <si>
    <t>Very bad DWV, badCBD, melted larave, heavy PMS, QS</t>
  </si>
  <si>
    <t>Kaat Kaye</t>
  </si>
  <si>
    <t>JJ-NY</t>
  </si>
  <si>
    <t>Hobbyist</t>
  </si>
  <si>
    <t>JJ Bedford</t>
  </si>
  <si>
    <t>630 Bedford Rd</t>
  </si>
  <si>
    <t>Tarrytown</t>
  </si>
  <si>
    <t>41°06'14.3"N</t>
  </si>
  <si>
    <t>73°49'35.3"W</t>
  </si>
  <si>
    <t>I157</t>
  </si>
  <si>
    <t>Spotted Lantern fly (2)</t>
  </si>
  <si>
    <t>I158</t>
  </si>
  <si>
    <t>Spicy! Looks great, 1 SHB</t>
  </si>
  <si>
    <t>I159</t>
  </si>
  <si>
    <t>Spicy, looks good, SHB (2)</t>
  </si>
  <si>
    <t>I160</t>
  </si>
  <si>
    <t>Spicy/Agressive</t>
  </si>
  <si>
    <t>Janelle Miller</t>
  </si>
  <si>
    <t>KN3-NY</t>
  </si>
  <si>
    <t>KN3 Town Line Rd</t>
  </si>
  <si>
    <t>1905 Town Line Road</t>
  </si>
  <si>
    <t>King Ferry</t>
  </si>
  <si>
    <t>42°40'54.3"N</t>
  </si>
  <si>
    <t>76°36'52.5"W</t>
  </si>
  <si>
    <t>H270</t>
  </si>
  <si>
    <t>QNS</t>
  </si>
  <si>
    <t>Queenless-no brood, all older bees</t>
  </si>
  <si>
    <t>G203</t>
  </si>
  <si>
    <t>looks healthy</t>
  </si>
  <si>
    <t>H209</t>
  </si>
  <si>
    <t>G204</t>
  </si>
  <si>
    <t>No notes, looks great</t>
  </si>
  <si>
    <t>Joey Martin</t>
  </si>
  <si>
    <t>KN6-NY</t>
  </si>
  <si>
    <t xml:space="preserve">No </t>
  </si>
  <si>
    <t>KN6 Stone Farm</t>
  </si>
  <si>
    <t>16136 St. HWY 23</t>
  </si>
  <si>
    <t>Davenport</t>
  </si>
  <si>
    <t>42°28'19.1"N</t>
  </si>
  <si>
    <t>74°50'22.1"W</t>
  </si>
  <si>
    <t>I101</t>
  </si>
  <si>
    <t>Tons! of pollen and honey</t>
  </si>
  <si>
    <t>I103</t>
  </si>
  <si>
    <t>QR/QS</t>
  </si>
  <si>
    <t xml:space="preserve">Honey bound, no brood, queen seen </t>
  </si>
  <si>
    <t>I102</t>
  </si>
  <si>
    <t>QS, marked her blue. Younf brood only, looks like colony swarmed recently</t>
  </si>
  <si>
    <t>I104</t>
  </si>
  <si>
    <t xml:space="preserve">Marked the queen, no old brood, most likely swarmed. </t>
  </si>
  <si>
    <t>James Powers</t>
  </si>
  <si>
    <t>KQ-NY</t>
  </si>
  <si>
    <t>KQ Pat Farley Rd</t>
  </si>
  <si>
    <t>374 Pat Farley Rd </t>
  </si>
  <si>
    <t>Norwich</t>
  </si>
  <si>
    <t xml:space="preserve">42°31'38.6"N </t>
  </si>
  <si>
    <t>-75°25'58.9"W</t>
  </si>
  <si>
    <t>I112</t>
  </si>
  <si>
    <t>PMS! and melted larvae</t>
  </si>
  <si>
    <t>I114</t>
  </si>
  <si>
    <t>I111</t>
  </si>
  <si>
    <t>melted larvae, q cell w/ egg</t>
  </si>
  <si>
    <t>I108</t>
  </si>
  <si>
    <t xml:space="preserve">melted larvae </t>
  </si>
  <si>
    <t>I107</t>
  </si>
  <si>
    <t>melted larvae, older larvae and capped brood, emergency queen cells</t>
  </si>
  <si>
    <t>I197</t>
  </si>
  <si>
    <t xml:space="preserve">QR </t>
  </si>
  <si>
    <t>I05</t>
  </si>
  <si>
    <t>I109</t>
  </si>
  <si>
    <t>discolored brood, had visual signs of EFB and shot gun brood (due to treatment?)</t>
  </si>
  <si>
    <t>I106</t>
  </si>
  <si>
    <t>Emergency queen cells, only older larvae and capped brood</t>
  </si>
  <si>
    <t>I110</t>
  </si>
  <si>
    <t>melted larvae</t>
  </si>
  <si>
    <t>KQ Shaw Brook Rd</t>
  </si>
  <si>
    <r>
      <rPr>
        <sz val="12"/>
        <color rgb="FF000000"/>
        <rFont val="WordVisi_MSFontService"/>
      </rPr>
      <t>253 Shaw Brook Rd, South New Berlin, NY 13843</t>
    </r>
    <r>
      <rPr>
        <sz val="12"/>
        <color rgb="FF000000"/>
        <rFont val="Aptos"/>
      </rPr>
      <t> </t>
    </r>
  </si>
  <si>
    <t>South New Berlin</t>
  </si>
  <si>
    <t xml:space="preserve">42°26'17.2"N </t>
  </si>
  <si>
    <t>-75°19'25.1"W</t>
  </si>
  <si>
    <t>I119</t>
  </si>
  <si>
    <t>Laying workers.</t>
  </si>
  <si>
    <r>
      <t>254 Shaw Brook Rd, South New Berlin, NY 13843</t>
    </r>
    <r>
      <rPr>
        <sz val="12"/>
        <color rgb="FF000000"/>
        <rFont val="Aptos"/>
        <charset val="1"/>
      </rPr>
      <t> </t>
    </r>
  </si>
  <si>
    <t>I117</t>
  </si>
  <si>
    <r>
      <t>255 Shaw Brook Rd, South New Berlin, NY 13843</t>
    </r>
    <r>
      <rPr>
        <sz val="12"/>
        <color rgb="FF000000"/>
        <rFont val="Aptos"/>
        <charset val="1"/>
      </rPr>
      <t> </t>
    </r>
  </si>
  <si>
    <t>I122</t>
  </si>
  <si>
    <t>New Queen-looks promising</t>
  </si>
  <si>
    <r>
      <t>256 Shaw Brook Rd, South New Berlin, NY 13843</t>
    </r>
    <r>
      <rPr>
        <sz val="12"/>
        <color rgb="FF000000"/>
        <rFont val="Aptos"/>
        <charset val="1"/>
      </rPr>
      <t> </t>
    </r>
  </si>
  <si>
    <t>I116</t>
  </si>
  <si>
    <t>Ql</t>
  </si>
  <si>
    <t>QL-no eggs/larvae (capped brood only), melted larvae</t>
  </si>
  <si>
    <r>
      <t>257 Shaw Brook Rd, South New Berlin, NY 13843</t>
    </r>
    <r>
      <rPr>
        <sz val="12"/>
        <color rgb="FF000000"/>
        <rFont val="Aptos"/>
        <charset val="1"/>
      </rPr>
      <t> </t>
    </r>
  </si>
  <si>
    <t>I121</t>
  </si>
  <si>
    <r>
      <t>258 Shaw Brook Rd, South New Berlin, NY 13843</t>
    </r>
    <r>
      <rPr>
        <sz val="12"/>
        <color rgb="FF000000"/>
        <rFont val="Aptos"/>
        <charset val="1"/>
      </rPr>
      <t> </t>
    </r>
  </si>
  <si>
    <t>I123</t>
  </si>
  <si>
    <r>
      <t>259 Shaw Brook Rd, South New Berlin, NY 13843</t>
    </r>
    <r>
      <rPr>
        <sz val="12"/>
        <color rgb="FF000000"/>
        <rFont val="Aptos"/>
        <charset val="1"/>
      </rPr>
      <t> </t>
    </r>
  </si>
  <si>
    <t>I124</t>
  </si>
  <si>
    <t>Melted brood- PMS</t>
  </si>
  <si>
    <r>
      <t>260 Shaw Brook Rd, South New Berlin, NY 13843</t>
    </r>
    <r>
      <rPr>
        <sz val="12"/>
        <color rgb="FF000000"/>
        <rFont val="Aptos"/>
        <charset val="1"/>
      </rPr>
      <t> </t>
    </r>
  </si>
  <si>
    <t>I118</t>
  </si>
  <si>
    <t>Melted larvae</t>
  </si>
  <si>
    <r>
      <t>261 Shaw Brook Rd, South New Berlin, NY 13843</t>
    </r>
    <r>
      <rPr>
        <sz val="12"/>
        <color rgb="FF000000"/>
        <rFont val="Aptos"/>
        <charset val="1"/>
      </rPr>
      <t> </t>
    </r>
  </si>
  <si>
    <t>I115</t>
  </si>
  <si>
    <t>QS</t>
  </si>
  <si>
    <r>
      <t>262 Shaw Brook Rd, South New Berlin, NY 13843</t>
    </r>
    <r>
      <rPr>
        <sz val="12"/>
        <color rgb="FF000000"/>
        <rFont val="Aptos"/>
        <charset val="1"/>
      </rPr>
      <t> </t>
    </r>
  </si>
  <si>
    <t>I120</t>
  </si>
  <si>
    <t>melted larvae, queenless no eggs</t>
  </si>
  <si>
    <t>Kathy Scalzo</t>
  </si>
  <si>
    <t>LT3-NY</t>
  </si>
  <si>
    <t>LT3 Museum Dr.</t>
  </si>
  <si>
    <t>16 Harbor Ct E</t>
  </si>
  <si>
    <t>Roslyn</t>
  </si>
  <si>
    <t>40°48'33.1"N</t>
  </si>
  <si>
    <t>73°37'32.7"W</t>
  </si>
  <si>
    <t>I153</t>
  </si>
  <si>
    <t xml:space="preserve">Heavy Infestation of small hive beetles. QS. </t>
  </si>
  <si>
    <t>I156</t>
  </si>
  <si>
    <t>Heavy SHB Infestation</t>
  </si>
  <si>
    <t>I155</t>
  </si>
  <si>
    <t>Lots of SHB</t>
  </si>
  <si>
    <t>I154</t>
  </si>
  <si>
    <t>Heavy infestation of SHB, visible varroa, moderate blad brood</t>
  </si>
  <si>
    <t>Llyod Spear</t>
  </si>
  <si>
    <t>MT-NY</t>
  </si>
  <si>
    <t>MT White Mills Rd</t>
  </si>
  <si>
    <t>42°23'46.8"N</t>
  </si>
  <si>
    <t>73°40'12.6"W</t>
  </si>
  <si>
    <t>I169</t>
  </si>
  <si>
    <t>Was queen less in June</t>
  </si>
  <si>
    <t>I170</t>
  </si>
  <si>
    <t>Melted Larave, discolored</t>
  </si>
  <si>
    <t>I168</t>
  </si>
  <si>
    <t>I167</t>
  </si>
  <si>
    <t>Michelle Woodworth</t>
  </si>
  <si>
    <t>NX2-NY</t>
  </si>
  <si>
    <t>NX2 Glen Cove Rd</t>
  </si>
  <si>
    <t>6370 Glen Cove Rd</t>
  </si>
  <si>
    <t>Moravia</t>
  </si>
  <si>
    <t>42°48'30.1"N</t>
  </si>
  <si>
    <t>76°19'19.7"W</t>
  </si>
  <si>
    <t>I148</t>
  </si>
  <si>
    <t>Nothing concerning, looks great, getting honey bound</t>
  </si>
  <si>
    <t>I147</t>
  </si>
  <si>
    <t xml:space="preserve">Mites in drone brood </t>
  </si>
  <si>
    <t>I146</t>
  </si>
  <si>
    <t>getting honey bound</t>
  </si>
  <si>
    <t>I145</t>
  </si>
  <si>
    <t xml:space="preserve">Full of bees/gettting honey bound </t>
  </si>
  <si>
    <t>Pete Hubbell</t>
  </si>
  <si>
    <t>QI-NY</t>
  </si>
  <si>
    <t>QI Home Apiary</t>
  </si>
  <si>
    <t>1 Clay Hill Rd.</t>
  </si>
  <si>
    <t>Tivoli</t>
  </si>
  <si>
    <t>42°03'18.6"N</t>
  </si>
  <si>
    <t>73°53'56.3"W</t>
  </si>
  <si>
    <t>I164</t>
  </si>
  <si>
    <t>Looks great! QS</t>
  </si>
  <si>
    <t>I1163</t>
  </si>
  <si>
    <t>Looks great!</t>
  </si>
  <si>
    <t>I165</t>
  </si>
  <si>
    <t>I194</t>
  </si>
  <si>
    <t>New tag/colony, I166 was euthanized.</t>
  </si>
  <si>
    <t>BS</t>
  </si>
  <si>
    <t>Richard Linck</t>
  </si>
  <si>
    <t>SM-NY</t>
  </si>
  <si>
    <t xml:space="preserve">SM Slate Hill Rd. </t>
  </si>
  <si>
    <t>3850 Slate Hill Rd</t>
  </si>
  <si>
    <t>Marcellus</t>
  </si>
  <si>
    <t>42°57'30.6"N</t>
  </si>
  <si>
    <t>76°18'38.2"W</t>
  </si>
  <si>
    <t>H301</t>
  </si>
  <si>
    <t>Nice pattern, 4 mites</t>
  </si>
  <si>
    <t>H302</t>
  </si>
  <si>
    <t>Few uncapped/chewed pupae, 1 mite</t>
  </si>
  <si>
    <t>H303</t>
  </si>
  <si>
    <t>Patches of bald brood, 0 mites</t>
  </si>
  <si>
    <t>H304</t>
  </si>
  <si>
    <t>One mite</t>
  </si>
  <si>
    <t>Don MacCombie</t>
  </si>
  <si>
    <t>EN2-NY</t>
  </si>
  <si>
    <t>EN2-N School Rd</t>
  </si>
  <si>
    <t>6702 N School Rd.</t>
  </si>
  <si>
    <t>Minoa</t>
  </si>
  <si>
    <t>I190</t>
  </si>
  <si>
    <t>Super is empty, 0 mites</t>
  </si>
  <si>
    <t>I191</t>
  </si>
  <si>
    <t>Top deep heavy, super full, 0 mites</t>
  </si>
  <si>
    <t>I192</t>
  </si>
  <si>
    <t>Super 1/2 hull, 0 mites</t>
  </si>
  <si>
    <t>I193</t>
  </si>
  <si>
    <t>Super 1/2 full, 0 mites</t>
  </si>
  <si>
    <t>Chris Millard</t>
  </si>
  <si>
    <t>DN-NY</t>
  </si>
  <si>
    <t xml:space="preserve">DN Mating Yard 1 </t>
  </si>
  <si>
    <t>12197 NY-12</t>
  </si>
  <si>
    <t>Boonville</t>
  </si>
  <si>
    <t>H214</t>
  </si>
  <si>
    <t>One uncapped cell, 0 mites</t>
  </si>
  <si>
    <t>H215</t>
  </si>
  <si>
    <t>Drone bald brood, 2 mites</t>
  </si>
  <si>
    <t>H216</t>
  </si>
  <si>
    <t>One slumped larvae, 2 mites</t>
  </si>
  <si>
    <t>H217</t>
  </si>
  <si>
    <t>Queen has a blue mark, 1 mite</t>
  </si>
  <si>
    <t>Alex Warcola</t>
  </si>
  <si>
    <t>BX2-NY</t>
  </si>
  <si>
    <t>BX2 Snake Yard</t>
  </si>
  <si>
    <t>Simonet Road</t>
  </si>
  <si>
    <t>Le Ray</t>
  </si>
  <si>
    <t>I210</t>
  </si>
  <si>
    <t>1 mite seen on bee, 4 mites</t>
  </si>
  <si>
    <t>I211</t>
  </si>
  <si>
    <t>1 mite</t>
  </si>
  <si>
    <t>I212</t>
  </si>
  <si>
    <t xml:space="preserve">1 mite  </t>
  </si>
  <si>
    <t>I213</t>
  </si>
  <si>
    <t>Nice pattern, a few CDB cells, 11 mites</t>
  </si>
  <si>
    <t>I214</t>
  </si>
  <si>
    <t>1 mite on a bee, 1 mites</t>
  </si>
  <si>
    <t>I215</t>
  </si>
  <si>
    <t>9 mites</t>
  </si>
  <si>
    <t>I216</t>
  </si>
  <si>
    <t>0 mites</t>
  </si>
  <si>
    <t>I217</t>
  </si>
  <si>
    <t>I218</t>
  </si>
  <si>
    <t>3 mites</t>
  </si>
  <si>
    <t>I278</t>
  </si>
  <si>
    <t>New tag, previous colony removed (I219), 6 mites</t>
  </si>
  <si>
    <t>BX2 Watson Yard</t>
  </si>
  <si>
    <t>33769 County Road 30</t>
  </si>
  <si>
    <t>Philadelphia</t>
  </si>
  <si>
    <t>I220</t>
  </si>
  <si>
    <t>0  mites</t>
  </si>
  <si>
    <t>33770 County Road 30</t>
  </si>
  <si>
    <t>I277</t>
  </si>
  <si>
    <t>Previous hive almost dead (I221), replaced, 4 mites</t>
  </si>
  <si>
    <t>33771 County Road 30</t>
  </si>
  <si>
    <t>I222</t>
  </si>
  <si>
    <t>33772 County Road 30</t>
  </si>
  <si>
    <t>I223</t>
  </si>
  <si>
    <t>33773 County Road 30</t>
  </si>
  <si>
    <t>I279</t>
  </si>
  <si>
    <t>New hive, I224 removed, 1 mite</t>
  </si>
  <si>
    <t>33774 County Road 30</t>
  </si>
  <si>
    <t>I225</t>
  </si>
  <si>
    <t>33775 County Road 30</t>
  </si>
  <si>
    <t>I226</t>
  </si>
  <si>
    <t>33776 County Road 30</t>
  </si>
  <si>
    <t>I280</t>
  </si>
  <si>
    <t>New hive, I227 removed, 0 mites</t>
  </si>
  <si>
    <t>33777 County Road 30</t>
  </si>
  <si>
    <t>I227</t>
  </si>
  <si>
    <t>33778 County Road 30</t>
  </si>
  <si>
    <t>I228</t>
  </si>
  <si>
    <t>Danny Cocuzza</t>
  </si>
  <si>
    <t>ED-NY</t>
  </si>
  <si>
    <t>ED Kelly's Farm</t>
  </si>
  <si>
    <t>611 Old Wilder Road</t>
  </si>
  <si>
    <t>Hilton</t>
  </si>
  <si>
    <t>43°17'15.9"N</t>
  </si>
  <si>
    <t>77°46'15.8"W</t>
  </si>
  <si>
    <t>H284</t>
  </si>
  <si>
    <t>Nice pattern, 0 mites</t>
  </si>
  <si>
    <t>I236</t>
  </si>
  <si>
    <t>Slightly spotty pattern, 4 mites</t>
  </si>
  <si>
    <t>I237</t>
  </si>
  <si>
    <t>0 mites, 1 SHB adult</t>
  </si>
  <si>
    <t>I238</t>
  </si>
  <si>
    <t>Tom Kingsley</t>
  </si>
  <si>
    <t>UL-NY</t>
  </si>
  <si>
    <t>UL Wesley Rd.</t>
  </si>
  <si>
    <t>808 Wesley Road</t>
  </si>
  <si>
    <t>Bloomfield</t>
  </si>
  <si>
    <t>42°52'11.6"N</t>
  </si>
  <si>
    <t>77°28'49.1"W</t>
  </si>
  <si>
    <t>G238</t>
  </si>
  <si>
    <t>8 mites</t>
  </si>
  <si>
    <t>I230</t>
  </si>
  <si>
    <t>Blue marked queen, 14 mites</t>
  </si>
  <si>
    <t>I231</t>
  </si>
  <si>
    <t>Probably superceded, no open brood, 1 mite</t>
  </si>
  <si>
    <t>H281</t>
  </si>
  <si>
    <t>Blue marked queen, 1 mite</t>
  </si>
  <si>
    <t>Audrey Seibert</t>
  </si>
  <si>
    <t>BT-NY</t>
  </si>
  <si>
    <t>BT Honeoye Five Points Rd</t>
  </si>
  <si>
    <t>602 Honeoye Falls-Five Points Road</t>
  </si>
  <si>
    <t>Rush</t>
  </si>
  <si>
    <t>I232</t>
  </si>
  <si>
    <t>Nice brood pattern, 1 mite</t>
  </si>
  <si>
    <t>603 Honeoye Falls-Five Points Road</t>
  </si>
  <si>
    <t>I233</t>
  </si>
  <si>
    <t>604 Honeoye Falls-Five Points Road</t>
  </si>
  <si>
    <t>I234</t>
  </si>
  <si>
    <t>5 mites</t>
  </si>
  <si>
    <t>605 Honeoye Falls-Five Points Road</t>
  </si>
  <si>
    <t>I235</t>
  </si>
  <si>
    <t>Bruce Fiegel</t>
  </si>
  <si>
    <t>CG2-NY</t>
  </si>
  <si>
    <t>CG Wallanick</t>
  </si>
  <si>
    <t>1643 Hosmer Rd</t>
  </si>
  <si>
    <t>Appleton</t>
  </si>
  <si>
    <t>43°20'08.5"N</t>
  </si>
  <si>
    <t>78°36'00.0"W</t>
  </si>
  <si>
    <t>I243</t>
  </si>
  <si>
    <t>1 cell CDB, 6 mites</t>
  </si>
  <si>
    <t>I244</t>
  </si>
  <si>
    <t>Frass in cell, 3 mites</t>
  </si>
  <si>
    <t>I245</t>
  </si>
  <si>
    <t>2 mites</t>
  </si>
  <si>
    <t>I246</t>
  </si>
  <si>
    <t>6 mites</t>
  </si>
  <si>
    <t>Ed Saleh</t>
  </si>
  <si>
    <t>FT2-NY</t>
  </si>
  <si>
    <t>FT2 Wheatfield Apiary</t>
  </si>
  <si>
    <t>6085 Walmore Rd.</t>
  </si>
  <si>
    <t>Sanborn</t>
  </si>
  <si>
    <t>43°07'44.0"N</t>
  </si>
  <si>
    <t xml:space="preserve"> 78°55'33.6"W</t>
  </si>
  <si>
    <t>I249</t>
  </si>
  <si>
    <t>4 mites</t>
  </si>
  <si>
    <t>I250</t>
  </si>
  <si>
    <t>Blue marked queen, 2 mites</t>
  </si>
  <si>
    <t>I251</t>
  </si>
  <si>
    <t>New queen since June, 1 mite</t>
  </si>
  <si>
    <t>I252</t>
  </si>
  <si>
    <t>2 queens! 7 mites</t>
  </si>
  <si>
    <t>Carl Smith</t>
  </si>
  <si>
    <t>DT-NY</t>
  </si>
  <si>
    <t>DT Kevin Drive Apiary</t>
  </si>
  <si>
    <t>7694 Kevin Drive, North Boston</t>
  </si>
  <si>
    <t>Hamburg</t>
  </si>
  <si>
    <t>I239</t>
  </si>
  <si>
    <t>New queen, 1 bee with DWV, 5 mites</t>
  </si>
  <si>
    <t>7695 Kevin Drive, North Boston</t>
  </si>
  <si>
    <t>I240</t>
  </si>
  <si>
    <t>7696 Kevin Drive, North Boston</t>
  </si>
  <si>
    <t>I241</t>
  </si>
  <si>
    <t>2 queens! one removed, 2 mites</t>
  </si>
  <si>
    <t>7697 Kevin Drive, North Boston</t>
  </si>
  <si>
    <t>I283</t>
  </si>
  <si>
    <t>Eric Warner</t>
  </si>
  <si>
    <t>FX-NY</t>
  </si>
  <si>
    <t>FX Boies Rd</t>
  </si>
  <si>
    <t>1910 Boies Rd</t>
  </si>
  <si>
    <t>West Fall</t>
  </si>
  <si>
    <t xml:space="preserve">42°41'28.5"N </t>
  </si>
  <si>
    <t>78°38'07.4"W</t>
  </si>
  <si>
    <t>H106</t>
  </si>
  <si>
    <t>I247</t>
  </si>
  <si>
    <t>Nice pattern, 2 mites</t>
  </si>
  <si>
    <t>G111</t>
  </si>
  <si>
    <t>Nice pattern, 6 mites</t>
  </si>
  <si>
    <t>I248</t>
  </si>
  <si>
    <t>Andy Card</t>
  </si>
  <si>
    <t>BD2-NY</t>
  </si>
  <si>
    <t>BD2 Farmer Rd</t>
  </si>
  <si>
    <t>13448 Quaker Street</t>
  </si>
  <si>
    <t>Collins</t>
  </si>
  <si>
    <t>42°5124"N</t>
  </si>
  <si>
    <t>-78°9238"W</t>
  </si>
  <si>
    <t>I253</t>
  </si>
  <si>
    <t>59 mites</t>
  </si>
  <si>
    <t>13449 Quaker Street</t>
  </si>
  <si>
    <t>I254</t>
  </si>
  <si>
    <t>57 mites</t>
  </si>
  <si>
    <t>13450 Quaker Street</t>
  </si>
  <si>
    <t>I255</t>
  </si>
  <si>
    <t>13451 Quaker Street</t>
  </si>
  <si>
    <t>I282</t>
  </si>
  <si>
    <t>20 mites, new tag, I256 removed</t>
  </si>
  <si>
    <t>13452 Quaker Street</t>
  </si>
  <si>
    <t>I257</t>
  </si>
  <si>
    <t>28 mites</t>
  </si>
  <si>
    <t>13453 Quaker Street</t>
  </si>
  <si>
    <t>I284</t>
  </si>
  <si>
    <t>69 mites</t>
  </si>
  <si>
    <t>13454 Quaker Street</t>
  </si>
  <si>
    <t>I263</t>
  </si>
  <si>
    <t>24 mites</t>
  </si>
  <si>
    <t>13455 Quaker Street</t>
  </si>
  <si>
    <t>I285</t>
  </si>
  <si>
    <t>50 mites</t>
  </si>
  <si>
    <t>13456 Quaker Street</t>
  </si>
  <si>
    <t>I265</t>
  </si>
  <si>
    <t>17 mites</t>
  </si>
  <si>
    <t>13457 Quaker Street</t>
  </si>
  <si>
    <t>I266</t>
  </si>
  <si>
    <t>46 mites</t>
  </si>
  <si>
    <t>BD2 Jones</t>
  </si>
  <si>
    <t>Utley Road</t>
  </si>
  <si>
    <t>East Otto</t>
  </si>
  <si>
    <t>I267</t>
  </si>
  <si>
    <t>I268</t>
  </si>
  <si>
    <t>Melted brood, 33 mites</t>
  </si>
  <si>
    <t>I269</t>
  </si>
  <si>
    <t>60 mites</t>
  </si>
  <si>
    <t>I270</t>
  </si>
  <si>
    <t>45 mites</t>
  </si>
  <si>
    <t>I271</t>
  </si>
  <si>
    <t>79 mites</t>
  </si>
  <si>
    <t>I272</t>
  </si>
  <si>
    <t>56 mites</t>
  </si>
  <si>
    <t>I273</t>
  </si>
  <si>
    <t>82 mites</t>
  </si>
  <si>
    <t>I274</t>
  </si>
  <si>
    <t>I286</t>
  </si>
  <si>
    <t>35 mites, New hive, I275 removed</t>
  </si>
  <si>
    <t>I276</t>
  </si>
  <si>
    <t>38 mites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</si>
</sst>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"/>
  </numFmts>
  <fonts count="1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Lora"/>
    </font>
    <font>
      <sz val="11"/>
      <name val="Lora"/>
    </font>
    <font>
      <sz val="11"/>
      <color rgb="FF222222"/>
      <name val="Lora"/>
    </font>
    <font>
      <sz val="11"/>
      <color rgb="FF000000"/>
      <name val="Lora"/>
    </font>
    <font>
      <sz val="12"/>
      <color theme="1"/>
      <name val="Lora"/>
    </font>
    <font>
      <sz val="12"/>
      <color rgb="FF000000"/>
      <name val="Aptos"/>
      <charset val="1"/>
    </font>
    <font>
      <sz val="12"/>
      <color rgb="FF000000"/>
      <name val="WordVisi_MSFontService"/>
      <charset val="1"/>
    </font>
    <font>
      <sz val="12"/>
      <color rgb="FF000000"/>
      <name val="WordVisi_MSFontService"/>
    </font>
    <font>
      <sz val="12"/>
      <color rgb="FF000000"/>
      <name val="Apto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0">
    <xf numFmtId="0" fontId="0" fillId="0" borderId="0" xfId="0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/>
    <xf numFmtId="14" fontId="3" fillId="0" borderId="0" xfId="0" applyNumberFormat="1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" fontId="3" fillId="0" borderId="0" xfId="0" applyNumberFormat="1" applyFont="1"/>
    <xf numFmtId="1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0" fontId="9" fillId="0" borderId="0" xfId="0" applyFont="1"/>
    <xf numFmtId="0" fontId="6" fillId="0" borderId="0" xfId="0" applyFont="1"/>
    <xf numFmtId="2" fontId="3" fillId="0" borderId="0" xfId="0" applyNumberFormat="1" applyFont="1"/>
    <xf numFmtId="0" fontId="4" fillId="0" borderId="0" xfId="0" applyFont="1" applyAlignment="1"/>
    <xf numFmtId="0" fontId="4" fillId="0" borderId="0" xfId="0" applyFont="1"/>
    <xf numFmtId="0" fontId="4" fillId="0" borderId="0" xfId="0" applyFont="1" applyAlignment="1">
      <alignment horizontal="right"/>
    </xf>
    <xf numFmtId="0" fontId="3" fillId="2" borderId="0" xfId="0" applyFont="1" applyFill="1"/>
    <xf numFmtId="0" fontId="3" fillId="3" borderId="0" xfId="0" applyFont="1" applyFill="1"/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4" borderId="0" xfId="0" applyFont="1" applyFill="1"/>
    <xf numFmtId="0" fontId="4" fillId="5" borderId="0" xfId="0" applyFont="1" applyFill="1" applyAlignment="1">
      <alignment vertical="center"/>
    </xf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</cellXfs>
  <cellStyles count="3">
    <cellStyle name="Normal" xfId="0" builtinId="0"/>
    <cellStyle name="Normal 6" xfId="2" xr:uid="{E2E4CEC2-BA05-4B07-B1FF-776F95FF31BF}"/>
    <cellStyle name="Normal 8" xfId="1" xr:uid="{4AF4413C-092C-4E8B-8489-611B71CE20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42FF-1069-4023-AE45-D6E185C6866A}">
  <dimension ref="A1:BJ166"/>
  <sheetViews>
    <sheetView tabSelected="1" zoomScaleNormal="100" workbookViewId="0">
      <pane ySplit="1" topLeftCell="A75" activePane="bottomLeft" state="frozen"/>
      <selection pane="bottomLeft" activeCell="B75" sqref="B75:B78"/>
    </sheetView>
  </sheetViews>
  <sheetFormatPr defaultColWidth="13.5703125" defaultRowHeight="19.5"/>
  <cols>
    <col min="1" max="5" width="13.5703125" style="3"/>
    <col min="6" max="6" width="15.7109375" style="3" customWidth="1"/>
    <col min="7" max="7" width="16.140625" style="3" customWidth="1"/>
    <col min="8" max="12" width="13.5703125" style="3"/>
    <col min="13" max="13" width="14" style="3" bestFit="1" customWidth="1"/>
    <col min="14" max="26" width="13.5703125" style="3"/>
    <col min="27" max="27" width="16" style="3" customWidth="1"/>
    <col min="28" max="16384" width="13.5703125" style="3"/>
  </cols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>
      <c r="A2" s="3" t="s">
        <v>62</v>
      </c>
      <c r="B2" s="1" t="s">
        <v>63</v>
      </c>
      <c r="C2" s="1" t="s">
        <v>64</v>
      </c>
      <c r="D2" s="3" t="s">
        <v>65</v>
      </c>
      <c r="E2" s="8">
        <v>45918</v>
      </c>
      <c r="F2" s="1" t="s">
        <v>66</v>
      </c>
      <c r="G2" s="1" t="s">
        <v>67</v>
      </c>
      <c r="H2" s="1" t="s">
        <v>68</v>
      </c>
      <c r="I2" s="5" t="s">
        <v>69</v>
      </c>
      <c r="J2" s="5" t="s">
        <v>70</v>
      </c>
      <c r="K2" s="5">
        <v>13153</v>
      </c>
      <c r="L2" s="1" t="s">
        <v>71</v>
      </c>
      <c r="M2" s="1" t="s">
        <v>72</v>
      </c>
      <c r="N2" s="24">
        <v>65</v>
      </c>
      <c r="O2" s="3" t="s">
        <v>73</v>
      </c>
      <c r="P2" s="3">
        <v>209</v>
      </c>
      <c r="Q2" s="3">
        <v>209</v>
      </c>
      <c r="R2" s="3" t="s">
        <v>74</v>
      </c>
      <c r="S2" s="3">
        <v>2</v>
      </c>
      <c r="T2" s="3">
        <v>0</v>
      </c>
      <c r="U2" s="3">
        <v>0</v>
      </c>
      <c r="V2" s="3" t="s">
        <v>75</v>
      </c>
      <c r="W2" s="3">
        <v>0</v>
      </c>
      <c r="X2" s="3">
        <v>2</v>
      </c>
      <c r="Y2" s="3">
        <v>0</v>
      </c>
      <c r="Z2" s="3">
        <v>10</v>
      </c>
      <c r="AA2" s="3">
        <f>SUM(AB2,(AC2*0.67),(AD2*0.5))</f>
        <v>12.17</v>
      </c>
      <c r="AB2" s="3">
        <v>11.5</v>
      </c>
      <c r="AC2" s="3">
        <v>1</v>
      </c>
      <c r="AD2" s="3">
        <v>0</v>
      </c>
      <c r="AE2" s="3" t="s">
        <v>76</v>
      </c>
      <c r="AF2" s="3">
        <v>2.5</v>
      </c>
      <c r="AG2" s="3">
        <v>0</v>
      </c>
      <c r="AH2" s="3">
        <v>0</v>
      </c>
      <c r="AI2" s="3">
        <v>0</v>
      </c>
      <c r="AJ2" s="3">
        <v>1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 t="s">
        <v>77</v>
      </c>
      <c r="BE2" s="7"/>
    </row>
    <row r="3" spans="1:62">
      <c r="A3" s="3" t="s">
        <v>62</v>
      </c>
      <c r="B3" s="1" t="s">
        <v>63</v>
      </c>
      <c r="C3" s="1" t="s">
        <v>64</v>
      </c>
      <c r="D3" s="3" t="s">
        <v>65</v>
      </c>
      <c r="E3" s="8">
        <v>45918</v>
      </c>
      <c r="F3" s="1" t="s">
        <v>66</v>
      </c>
      <c r="G3" s="1" t="s">
        <v>67</v>
      </c>
      <c r="H3" s="1" t="s">
        <v>68</v>
      </c>
      <c r="I3" s="5" t="s">
        <v>69</v>
      </c>
      <c r="J3" s="5" t="s">
        <v>70</v>
      </c>
      <c r="K3" s="5">
        <v>13153</v>
      </c>
      <c r="L3" s="1" t="s">
        <v>71</v>
      </c>
      <c r="M3" s="1" t="s">
        <v>72</v>
      </c>
      <c r="N3" s="24">
        <v>65</v>
      </c>
      <c r="O3" s="3" t="s">
        <v>78</v>
      </c>
      <c r="P3" s="3">
        <v>210</v>
      </c>
      <c r="Q3" s="3">
        <v>210</v>
      </c>
      <c r="R3" s="3" t="s">
        <v>74</v>
      </c>
      <c r="S3" s="3">
        <v>2</v>
      </c>
      <c r="T3" s="3">
        <v>0</v>
      </c>
      <c r="U3" s="3">
        <v>0</v>
      </c>
      <c r="V3" s="3" t="s">
        <v>75</v>
      </c>
      <c r="W3" s="3">
        <v>0</v>
      </c>
      <c r="X3" s="3">
        <v>2</v>
      </c>
      <c r="Y3" s="3">
        <v>0</v>
      </c>
      <c r="Z3" s="3">
        <v>10</v>
      </c>
      <c r="AA3" s="3">
        <f>SUM(AB3,(AC3*0.67),(AD3*0.5))</f>
        <v>11</v>
      </c>
      <c r="AB3" s="3">
        <v>11</v>
      </c>
      <c r="AC3" s="3">
        <v>0</v>
      </c>
      <c r="AD3" s="3">
        <v>0</v>
      </c>
      <c r="AE3" s="3" t="s">
        <v>76</v>
      </c>
      <c r="AF3" s="3">
        <v>3.5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1</v>
      </c>
      <c r="AW3" s="3">
        <v>0</v>
      </c>
      <c r="AX3" s="3">
        <v>0</v>
      </c>
      <c r="AY3" s="3">
        <v>0</v>
      </c>
      <c r="AZ3" s="3" t="s">
        <v>79</v>
      </c>
      <c r="BE3" s="7"/>
    </row>
    <row r="4" spans="1:62">
      <c r="A4" s="3" t="s">
        <v>62</v>
      </c>
      <c r="B4" s="1" t="s">
        <v>63</v>
      </c>
      <c r="C4" s="1" t="s">
        <v>64</v>
      </c>
      <c r="D4" s="3" t="s">
        <v>65</v>
      </c>
      <c r="E4" s="8">
        <v>45918</v>
      </c>
      <c r="F4" s="1" t="s">
        <v>66</v>
      </c>
      <c r="G4" s="1" t="s">
        <v>67</v>
      </c>
      <c r="H4" s="1" t="s">
        <v>68</v>
      </c>
      <c r="I4" s="5" t="s">
        <v>69</v>
      </c>
      <c r="J4" s="5" t="s">
        <v>70</v>
      </c>
      <c r="K4" s="5">
        <v>13153</v>
      </c>
      <c r="L4" s="1" t="s">
        <v>71</v>
      </c>
      <c r="M4" s="1" t="s">
        <v>72</v>
      </c>
      <c r="N4" s="24">
        <v>65</v>
      </c>
      <c r="O4" s="3" t="s">
        <v>80</v>
      </c>
      <c r="P4" s="3">
        <v>211</v>
      </c>
      <c r="Q4" s="3">
        <v>211</v>
      </c>
      <c r="R4" s="3" t="s">
        <v>74</v>
      </c>
      <c r="S4" s="3">
        <v>2</v>
      </c>
      <c r="T4" s="3">
        <v>0</v>
      </c>
      <c r="U4" s="3">
        <v>0</v>
      </c>
      <c r="V4" s="3" t="s">
        <v>75</v>
      </c>
      <c r="W4" s="3">
        <v>0</v>
      </c>
      <c r="X4" s="3">
        <v>2</v>
      </c>
      <c r="Y4" s="3">
        <v>0</v>
      </c>
      <c r="Z4" s="3">
        <v>10</v>
      </c>
      <c r="AA4" s="3">
        <f>SUM(AB4,(AC4*0.67),(AD4*0.5))</f>
        <v>6.5</v>
      </c>
      <c r="AB4" s="3">
        <v>6.5</v>
      </c>
      <c r="AC4" s="3">
        <v>0</v>
      </c>
      <c r="AD4" s="3">
        <v>0</v>
      </c>
      <c r="AE4" s="3" t="s">
        <v>76</v>
      </c>
      <c r="AF4" s="3">
        <v>3.5</v>
      </c>
      <c r="AG4" s="3">
        <v>0</v>
      </c>
      <c r="AH4" s="3">
        <v>0</v>
      </c>
      <c r="AI4" s="3">
        <v>0</v>
      </c>
      <c r="AJ4" s="3">
        <v>1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1</v>
      </c>
      <c r="AS4" s="3">
        <v>1</v>
      </c>
      <c r="AT4" s="3">
        <v>0</v>
      </c>
      <c r="AU4" s="3">
        <v>0</v>
      </c>
      <c r="AV4" s="3">
        <v>1</v>
      </c>
      <c r="AW4" s="3">
        <v>0</v>
      </c>
      <c r="AX4" s="3">
        <v>0</v>
      </c>
      <c r="AY4" s="3">
        <v>0</v>
      </c>
      <c r="AZ4" s="3">
        <v>0</v>
      </c>
      <c r="BE4" s="7"/>
    </row>
    <row r="5" spans="1:62">
      <c r="A5" s="3" t="s">
        <v>62</v>
      </c>
      <c r="B5" s="1" t="s">
        <v>63</v>
      </c>
      <c r="C5" s="1" t="s">
        <v>64</v>
      </c>
      <c r="D5" s="3" t="s">
        <v>65</v>
      </c>
      <c r="E5" s="8">
        <v>45918</v>
      </c>
      <c r="F5" s="1" t="s">
        <v>66</v>
      </c>
      <c r="G5" s="1" t="s">
        <v>67</v>
      </c>
      <c r="H5" s="1" t="s">
        <v>68</v>
      </c>
      <c r="I5" s="5" t="s">
        <v>69</v>
      </c>
      <c r="J5" s="5" t="s">
        <v>70</v>
      </c>
      <c r="K5" s="5">
        <v>13153</v>
      </c>
      <c r="L5" s="1" t="s">
        <v>71</v>
      </c>
      <c r="M5" s="1" t="s">
        <v>72</v>
      </c>
      <c r="N5" s="24">
        <v>65</v>
      </c>
      <c r="O5" s="3" t="s">
        <v>81</v>
      </c>
      <c r="P5" s="3">
        <v>212</v>
      </c>
      <c r="Q5" s="3">
        <v>212</v>
      </c>
      <c r="R5" s="3" t="s">
        <v>74</v>
      </c>
      <c r="S5" s="3">
        <v>3</v>
      </c>
      <c r="T5" s="3">
        <v>0</v>
      </c>
      <c r="U5" s="3">
        <v>0</v>
      </c>
      <c r="V5" s="3" t="s">
        <v>75</v>
      </c>
      <c r="W5" s="3">
        <v>0</v>
      </c>
      <c r="X5" s="3">
        <v>2</v>
      </c>
      <c r="Y5" s="3">
        <v>0</v>
      </c>
      <c r="Z5" s="3">
        <v>10</v>
      </c>
      <c r="AA5" s="3">
        <f>SUM(AB5,(AC5*0.67),(AD5*0.5))</f>
        <v>16.335000000000001</v>
      </c>
      <c r="AB5" s="3">
        <v>16</v>
      </c>
      <c r="AC5" s="3">
        <v>0.5</v>
      </c>
      <c r="AD5" s="3">
        <v>0</v>
      </c>
      <c r="AE5" s="3" t="s">
        <v>76</v>
      </c>
      <c r="AF5" s="3">
        <v>3.5</v>
      </c>
      <c r="AG5" s="3">
        <v>0</v>
      </c>
      <c r="AH5" s="3">
        <v>0</v>
      </c>
      <c r="AI5" s="3">
        <v>1</v>
      </c>
      <c r="AJ5" s="3">
        <v>1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1</v>
      </c>
      <c r="AS5" s="3">
        <v>0</v>
      </c>
      <c r="AT5" s="3">
        <v>0</v>
      </c>
      <c r="AU5" s="3">
        <v>0</v>
      </c>
      <c r="AV5" s="3">
        <v>1</v>
      </c>
      <c r="AW5" s="3">
        <v>0</v>
      </c>
      <c r="AX5" s="3">
        <v>0</v>
      </c>
      <c r="AY5" s="3">
        <v>0</v>
      </c>
      <c r="AZ5" s="3">
        <v>0</v>
      </c>
      <c r="BE5" s="7"/>
    </row>
    <row r="6" spans="1:62">
      <c r="A6" s="3" t="s">
        <v>62</v>
      </c>
      <c r="B6" s="3" t="s">
        <v>82</v>
      </c>
      <c r="C6" s="3" t="s">
        <v>83</v>
      </c>
      <c r="D6" s="3" t="s">
        <v>65</v>
      </c>
      <c r="E6" s="4">
        <v>45909</v>
      </c>
      <c r="F6" s="3" t="s">
        <v>66</v>
      </c>
      <c r="G6" s="3" t="s">
        <v>84</v>
      </c>
      <c r="H6" s="5" t="s">
        <v>85</v>
      </c>
      <c r="I6" s="5" t="s">
        <v>86</v>
      </c>
      <c r="J6" s="5" t="s">
        <v>70</v>
      </c>
      <c r="K6" s="1">
        <v>12578</v>
      </c>
      <c r="L6" s="3" t="s">
        <v>87</v>
      </c>
      <c r="M6" s="3" t="s">
        <v>88</v>
      </c>
      <c r="N6" s="3">
        <v>12</v>
      </c>
      <c r="O6" s="3" t="s">
        <v>89</v>
      </c>
      <c r="P6" s="3">
        <v>217</v>
      </c>
      <c r="Q6" s="3">
        <v>217</v>
      </c>
      <c r="R6" s="3" t="s">
        <v>74</v>
      </c>
      <c r="S6" s="3">
        <v>2</v>
      </c>
      <c r="T6" s="3">
        <v>0</v>
      </c>
      <c r="U6" s="3">
        <v>0</v>
      </c>
      <c r="V6" s="3" t="s">
        <v>75</v>
      </c>
      <c r="W6" s="3">
        <v>0</v>
      </c>
      <c r="X6" s="3">
        <v>3</v>
      </c>
      <c r="Y6" s="3">
        <v>0</v>
      </c>
      <c r="Z6" s="3">
        <v>8</v>
      </c>
      <c r="AA6" s="17">
        <f>SUM((AB6),(AC6*(2/3)),(AD6*(1/2)))</f>
        <v>6</v>
      </c>
      <c r="AB6" s="3">
        <v>6</v>
      </c>
      <c r="AC6" s="3">
        <v>0</v>
      </c>
      <c r="AD6" s="3">
        <v>0</v>
      </c>
      <c r="AE6" s="3" t="s">
        <v>76</v>
      </c>
      <c r="AF6" s="3">
        <v>2.5</v>
      </c>
      <c r="AG6" s="3">
        <v>0</v>
      </c>
      <c r="AH6" s="3">
        <v>0</v>
      </c>
      <c r="AI6" s="3">
        <v>0</v>
      </c>
      <c r="AJ6" s="3">
        <v>1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R6" s="3">
        <v>0</v>
      </c>
      <c r="AS6" s="3">
        <v>1</v>
      </c>
      <c r="AT6" s="3">
        <v>1</v>
      </c>
      <c r="AU6" s="3">
        <v>0</v>
      </c>
      <c r="AV6" s="3">
        <v>1</v>
      </c>
      <c r="AW6" s="3">
        <v>0</v>
      </c>
      <c r="AX6" s="3">
        <v>0</v>
      </c>
      <c r="AY6" s="3">
        <v>0</v>
      </c>
      <c r="AZ6" s="3" t="s">
        <v>90</v>
      </c>
      <c r="BE6" s="7"/>
    </row>
    <row r="7" spans="1:62">
      <c r="A7" s="3" t="s">
        <v>62</v>
      </c>
      <c r="B7" s="3" t="s">
        <v>82</v>
      </c>
      <c r="C7" s="3" t="s">
        <v>83</v>
      </c>
      <c r="D7" s="3" t="s">
        <v>65</v>
      </c>
      <c r="E7" s="4">
        <v>45909</v>
      </c>
      <c r="F7" s="3" t="s">
        <v>66</v>
      </c>
      <c r="G7" s="3" t="s">
        <v>84</v>
      </c>
      <c r="H7" s="5" t="s">
        <v>85</v>
      </c>
      <c r="I7" s="5" t="s">
        <v>86</v>
      </c>
      <c r="J7" s="5" t="s">
        <v>70</v>
      </c>
      <c r="K7" s="1">
        <v>12578</v>
      </c>
      <c r="L7" s="3" t="s">
        <v>87</v>
      </c>
      <c r="M7" s="3" t="s">
        <v>88</v>
      </c>
      <c r="N7" s="3">
        <v>12</v>
      </c>
      <c r="O7" s="3" t="s">
        <v>91</v>
      </c>
      <c r="P7" s="3">
        <v>219</v>
      </c>
      <c r="Q7" s="3">
        <v>219</v>
      </c>
      <c r="R7" s="3" t="s">
        <v>74</v>
      </c>
      <c r="S7" s="3">
        <v>2</v>
      </c>
      <c r="T7" s="3">
        <v>0</v>
      </c>
      <c r="U7" s="3">
        <v>0</v>
      </c>
      <c r="V7" s="3" t="s">
        <v>75</v>
      </c>
      <c r="W7" s="3">
        <v>0</v>
      </c>
      <c r="X7" s="3">
        <v>5</v>
      </c>
      <c r="Y7" s="3">
        <v>0</v>
      </c>
      <c r="Z7" s="3">
        <v>8</v>
      </c>
      <c r="AA7" s="17">
        <f>SUM((AB7),(AC7*(2/3)),(AD7*(1/2)))</f>
        <v>16.166666666666668</v>
      </c>
      <c r="AB7" s="3">
        <v>12.5</v>
      </c>
      <c r="AC7" s="3">
        <v>5.5</v>
      </c>
      <c r="AD7" s="3">
        <v>0</v>
      </c>
      <c r="AE7" s="3" t="s">
        <v>76</v>
      </c>
      <c r="AF7" s="3">
        <v>3</v>
      </c>
      <c r="AG7" s="3">
        <v>0</v>
      </c>
      <c r="AH7" s="3">
        <v>0</v>
      </c>
      <c r="AI7" s="3">
        <v>0</v>
      </c>
      <c r="AJ7" s="3">
        <v>1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 t="s">
        <v>92</v>
      </c>
      <c r="BE7" s="7"/>
    </row>
    <row r="8" spans="1:62">
      <c r="A8" s="3" t="s">
        <v>62</v>
      </c>
      <c r="B8" s="3" t="s">
        <v>82</v>
      </c>
      <c r="C8" s="3" t="s">
        <v>83</v>
      </c>
      <c r="D8" s="3" t="s">
        <v>65</v>
      </c>
      <c r="E8" s="4">
        <v>45909</v>
      </c>
      <c r="F8" s="3" t="s">
        <v>66</v>
      </c>
      <c r="G8" s="3" t="s">
        <v>84</v>
      </c>
      <c r="H8" s="5" t="s">
        <v>85</v>
      </c>
      <c r="I8" s="5" t="s">
        <v>86</v>
      </c>
      <c r="J8" s="5" t="s">
        <v>70</v>
      </c>
      <c r="K8" s="1">
        <v>12578</v>
      </c>
      <c r="L8" s="3" t="s">
        <v>87</v>
      </c>
      <c r="M8" s="3" t="s">
        <v>88</v>
      </c>
      <c r="N8" s="3">
        <v>12</v>
      </c>
      <c r="O8" s="3" t="s">
        <v>93</v>
      </c>
      <c r="P8" s="3">
        <v>218</v>
      </c>
      <c r="Q8" s="3">
        <v>218</v>
      </c>
      <c r="R8" s="3" t="s">
        <v>74</v>
      </c>
      <c r="S8" s="3">
        <v>2</v>
      </c>
      <c r="T8" s="3">
        <v>0</v>
      </c>
      <c r="U8" s="3">
        <v>0</v>
      </c>
      <c r="V8" s="3" t="s">
        <v>75</v>
      </c>
      <c r="W8" s="3">
        <v>0</v>
      </c>
      <c r="X8" s="3">
        <v>3</v>
      </c>
      <c r="Y8" s="3">
        <v>0</v>
      </c>
      <c r="Z8" s="3">
        <v>8</v>
      </c>
      <c r="AA8" s="17">
        <f>SUM((AB8),(AC8*(2/3)),(AD8*(1/2)))</f>
        <v>13.666666666666666</v>
      </c>
      <c r="AB8" s="3">
        <v>13</v>
      </c>
      <c r="AC8" s="3">
        <v>1</v>
      </c>
      <c r="AD8" s="3">
        <v>0</v>
      </c>
      <c r="AE8" s="3" t="s">
        <v>76</v>
      </c>
      <c r="AF8" s="3">
        <v>2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 t="s">
        <v>94</v>
      </c>
      <c r="BE8" s="7"/>
    </row>
    <row r="9" spans="1:62">
      <c r="A9" s="3" t="s">
        <v>62</v>
      </c>
      <c r="B9" s="3" t="s">
        <v>82</v>
      </c>
      <c r="C9" s="3" t="s">
        <v>83</v>
      </c>
      <c r="D9" s="3" t="s">
        <v>65</v>
      </c>
      <c r="E9" s="4">
        <v>45909</v>
      </c>
      <c r="F9" s="3" t="s">
        <v>66</v>
      </c>
      <c r="G9" s="3" t="s">
        <v>84</v>
      </c>
      <c r="H9" s="5" t="s">
        <v>85</v>
      </c>
      <c r="I9" s="5" t="s">
        <v>86</v>
      </c>
      <c r="J9" s="5" t="s">
        <v>70</v>
      </c>
      <c r="K9" s="1">
        <v>12578</v>
      </c>
      <c r="L9" s="3" t="s">
        <v>87</v>
      </c>
      <c r="M9" s="3" t="s">
        <v>88</v>
      </c>
      <c r="N9" s="3">
        <v>12</v>
      </c>
      <c r="O9" s="3" t="s">
        <v>95</v>
      </c>
      <c r="P9" s="3">
        <v>220</v>
      </c>
      <c r="Q9" s="3">
        <v>220</v>
      </c>
      <c r="R9" s="3" t="s">
        <v>74</v>
      </c>
      <c r="S9" s="3">
        <v>2</v>
      </c>
      <c r="T9" s="3">
        <v>0</v>
      </c>
      <c r="U9" s="3">
        <v>0</v>
      </c>
      <c r="V9" s="3" t="s">
        <v>75</v>
      </c>
      <c r="W9" s="3">
        <v>0</v>
      </c>
      <c r="X9" s="3">
        <v>4</v>
      </c>
      <c r="Y9" s="3">
        <v>0</v>
      </c>
      <c r="Z9" s="3">
        <v>8</v>
      </c>
      <c r="AA9" s="17">
        <f>SUM((AB9),(AC9*(2/3)),(AD9*(1/2)))</f>
        <v>13.333333333333334</v>
      </c>
      <c r="AB9" s="3">
        <v>12</v>
      </c>
      <c r="AC9" s="3">
        <v>2</v>
      </c>
      <c r="AD9" s="3">
        <v>0</v>
      </c>
      <c r="AE9" s="3" t="s">
        <v>76</v>
      </c>
      <c r="AF9" s="3">
        <v>2.5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1</v>
      </c>
      <c r="AS9" s="3">
        <v>0</v>
      </c>
      <c r="AT9" s="3">
        <v>0</v>
      </c>
      <c r="AU9" s="3">
        <v>0</v>
      </c>
      <c r="AV9" s="3">
        <v>1</v>
      </c>
      <c r="AW9" s="3">
        <v>0</v>
      </c>
      <c r="AX9" s="3">
        <v>0</v>
      </c>
      <c r="AY9" s="3">
        <v>0</v>
      </c>
      <c r="AZ9" s="3">
        <v>0</v>
      </c>
      <c r="BE9" s="7"/>
    </row>
    <row r="10" spans="1:62">
      <c r="A10" s="3" t="s">
        <v>62</v>
      </c>
      <c r="B10" s="3" t="s">
        <v>96</v>
      </c>
      <c r="C10" s="3" t="s">
        <v>97</v>
      </c>
      <c r="D10" s="3" t="s">
        <v>65</v>
      </c>
      <c r="E10" s="4">
        <v>45909</v>
      </c>
      <c r="F10" s="3" t="s">
        <v>66</v>
      </c>
      <c r="G10" s="3" t="s">
        <v>98</v>
      </c>
      <c r="H10" s="5" t="s">
        <v>99</v>
      </c>
      <c r="I10" s="5" t="s">
        <v>100</v>
      </c>
      <c r="J10" s="5" t="s">
        <v>70</v>
      </c>
      <c r="K10" s="1">
        <v>12571</v>
      </c>
      <c r="L10" s="16" t="s">
        <v>101</v>
      </c>
      <c r="M10" s="16" t="s">
        <v>102</v>
      </c>
      <c r="N10" s="3">
        <v>6</v>
      </c>
      <c r="O10" s="3" t="s">
        <v>103</v>
      </c>
      <c r="P10" s="3">
        <v>118</v>
      </c>
      <c r="Q10" s="3">
        <v>118</v>
      </c>
      <c r="R10" s="3" t="s">
        <v>74</v>
      </c>
      <c r="S10" s="3">
        <v>2</v>
      </c>
      <c r="T10" s="3">
        <v>1</v>
      </c>
      <c r="U10" s="3">
        <v>0</v>
      </c>
      <c r="V10" s="3" t="s">
        <v>66</v>
      </c>
      <c r="W10" s="3">
        <v>0</v>
      </c>
      <c r="X10" s="3">
        <v>0</v>
      </c>
      <c r="Y10" s="3">
        <v>0</v>
      </c>
      <c r="Z10" s="3">
        <v>8</v>
      </c>
      <c r="AA10" s="17">
        <f>SUM((AB10),(AC10*(2/3)),(AD10*(1/2)))</f>
        <v>6</v>
      </c>
      <c r="AB10" s="3">
        <v>6</v>
      </c>
      <c r="AC10" s="3">
        <v>0</v>
      </c>
      <c r="AD10" s="3">
        <v>0</v>
      </c>
      <c r="AE10" s="3" t="s">
        <v>76</v>
      </c>
      <c r="AF10" s="3">
        <v>3.5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 t="s">
        <v>104</v>
      </c>
      <c r="BE10" s="7"/>
    </row>
    <row r="11" spans="1:62">
      <c r="A11" s="3" t="s">
        <v>62</v>
      </c>
      <c r="B11" s="3" t="s">
        <v>96</v>
      </c>
      <c r="C11" s="3" t="s">
        <v>97</v>
      </c>
      <c r="D11" s="3" t="s">
        <v>65</v>
      </c>
      <c r="E11" s="4">
        <v>45909</v>
      </c>
      <c r="F11" s="3" t="s">
        <v>66</v>
      </c>
      <c r="G11" s="3" t="s">
        <v>98</v>
      </c>
      <c r="H11" s="5" t="s">
        <v>99</v>
      </c>
      <c r="I11" s="5" t="s">
        <v>100</v>
      </c>
      <c r="J11" s="5" t="s">
        <v>70</v>
      </c>
      <c r="K11" s="1">
        <v>12571</v>
      </c>
      <c r="L11" s="16" t="s">
        <v>101</v>
      </c>
      <c r="M11" s="16" t="s">
        <v>102</v>
      </c>
      <c r="N11" s="3">
        <v>6</v>
      </c>
      <c r="O11" s="3" t="s">
        <v>105</v>
      </c>
      <c r="P11" s="3">
        <v>117</v>
      </c>
      <c r="Q11" s="3">
        <v>117</v>
      </c>
      <c r="R11" s="3" t="s">
        <v>74</v>
      </c>
      <c r="S11" s="3">
        <v>1</v>
      </c>
      <c r="T11" s="3">
        <v>2</v>
      </c>
      <c r="U11" s="3">
        <v>0</v>
      </c>
      <c r="V11" s="3" t="s">
        <v>66</v>
      </c>
      <c r="W11" s="3">
        <v>0</v>
      </c>
      <c r="X11" s="3">
        <v>0</v>
      </c>
      <c r="Y11" s="3">
        <v>0</v>
      </c>
      <c r="Z11" s="3">
        <v>8</v>
      </c>
      <c r="AA11" s="17">
        <f>SUM((AB11),(AC11*(2/3)),(AD11*(1/2)))</f>
        <v>13.666666666666666</v>
      </c>
      <c r="AB11" s="17">
        <v>8</v>
      </c>
      <c r="AC11" s="3">
        <v>8.5</v>
      </c>
      <c r="AD11" s="3">
        <v>0</v>
      </c>
      <c r="AE11" s="3" t="s">
        <v>76</v>
      </c>
      <c r="AF11" s="3">
        <v>3.5</v>
      </c>
      <c r="AG11" s="3">
        <v>0</v>
      </c>
      <c r="AH11" s="3">
        <v>0</v>
      </c>
      <c r="AI11" s="3">
        <v>0</v>
      </c>
      <c r="AJ11" s="3">
        <v>1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 t="s">
        <v>106</v>
      </c>
      <c r="BE11" s="7"/>
    </row>
    <row r="12" spans="1:62">
      <c r="A12" s="3" t="s">
        <v>62</v>
      </c>
      <c r="B12" s="3" t="s">
        <v>96</v>
      </c>
      <c r="C12" s="3" t="s">
        <v>97</v>
      </c>
      <c r="D12" s="3" t="s">
        <v>65</v>
      </c>
      <c r="E12" s="4">
        <v>45910</v>
      </c>
      <c r="F12" s="3" t="s">
        <v>66</v>
      </c>
      <c r="G12" s="3" t="s">
        <v>107</v>
      </c>
      <c r="H12" s="5" t="s">
        <v>108</v>
      </c>
      <c r="I12" s="5" t="s">
        <v>109</v>
      </c>
      <c r="J12" s="5" t="s">
        <v>70</v>
      </c>
      <c r="K12" s="1">
        <v>12087</v>
      </c>
      <c r="L12" s="3" t="s">
        <v>110</v>
      </c>
      <c r="M12" s="3" t="s">
        <v>111</v>
      </c>
      <c r="N12" s="3">
        <v>7</v>
      </c>
      <c r="O12" s="3" t="s">
        <v>112</v>
      </c>
      <c r="P12" s="3">
        <v>120</v>
      </c>
      <c r="Q12" s="3">
        <v>120</v>
      </c>
      <c r="R12" s="3" t="s">
        <v>74</v>
      </c>
      <c r="S12" s="3">
        <v>1</v>
      </c>
      <c r="T12" s="3">
        <v>3</v>
      </c>
      <c r="U12" s="3">
        <v>0</v>
      </c>
      <c r="V12" s="3" t="s">
        <v>66</v>
      </c>
      <c r="W12" s="3">
        <v>0</v>
      </c>
      <c r="X12" s="3">
        <v>0</v>
      </c>
      <c r="Y12" s="3">
        <v>0</v>
      </c>
      <c r="Z12" s="3">
        <v>10</v>
      </c>
      <c r="AA12" s="17">
        <f>SUM((AB12),(AC12*(2/3)),(AD12*(1/2)))</f>
        <v>0.5</v>
      </c>
      <c r="AB12" s="3">
        <v>0.5</v>
      </c>
      <c r="AC12" s="3">
        <v>0</v>
      </c>
      <c r="AD12" s="3">
        <v>0</v>
      </c>
      <c r="AE12" s="3" t="s">
        <v>113</v>
      </c>
      <c r="AF12" s="3">
        <v>0</v>
      </c>
      <c r="AG12" s="3">
        <v>0</v>
      </c>
      <c r="AH12" s="3">
        <v>0</v>
      </c>
      <c r="AI12" s="3">
        <v>0</v>
      </c>
      <c r="AJ12" s="3">
        <v>1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1</v>
      </c>
      <c r="AW12" s="3">
        <v>0</v>
      </c>
      <c r="AX12" s="3">
        <v>0</v>
      </c>
      <c r="AY12" s="3">
        <v>0</v>
      </c>
      <c r="AZ12" s="3" t="s">
        <v>114</v>
      </c>
      <c r="BE12" s="7"/>
    </row>
    <row r="13" spans="1:62">
      <c r="A13" s="3" t="s">
        <v>62</v>
      </c>
      <c r="B13" s="3" t="s">
        <v>96</v>
      </c>
      <c r="C13" s="3" t="s">
        <v>97</v>
      </c>
      <c r="D13" s="3" t="s">
        <v>65</v>
      </c>
      <c r="E13" s="4">
        <v>45910</v>
      </c>
      <c r="F13" s="3" t="s">
        <v>66</v>
      </c>
      <c r="G13" s="3" t="s">
        <v>107</v>
      </c>
      <c r="H13" s="5" t="s">
        <v>108</v>
      </c>
      <c r="I13" s="5" t="s">
        <v>109</v>
      </c>
      <c r="J13" s="5" t="s">
        <v>70</v>
      </c>
      <c r="K13" s="1">
        <v>12087</v>
      </c>
      <c r="L13" s="3" t="s">
        <v>110</v>
      </c>
      <c r="M13" s="3" t="s">
        <v>111</v>
      </c>
      <c r="N13" s="3">
        <v>7</v>
      </c>
      <c r="O13" s="3" t="s">
        <v>115</v>
      </c>
      <c r="P13" s="3">
        <v>119</v>
      </c>
      <c r="Q13" s="3">
        <v>119</v>
      </c>
      <c r="R13" s="3" t="s">
        <v>74</v>
      </c>
      <c r="S13" s="3">
        <v>1</v>
      </c>
      <c r="T13" s="3">
        <v>2</v>
      </c>
      <c r="U13" s="3">
        <v>0</v>
      </c>
      <c r="V13" s="3" t="s">
        <v>66</v>
      </c>
      <c r="W13" s="3">
        <v>0</v>
      </c>
      <c r="X13" s="3">
        <v>0</v>
      </c>
      <c r="Y13" s="3">
        <v>0</v>
      </c>
      <c r="Z13" s="3">
        <v>10</v>
      </c>
      <c r="AA13" s="17">
        <f>SUM((AB13),(AC13*(2/3)),(AD13*(1/2)))</f>
        <v>12.333333333333332</v>
      </c>
      <c r="AB13" s="3">
        <v>7</v>
      </c>
      <c r="AC13" s="3">
        <v>8</v>
      </c>
      <c r="AD13" s="3">
        <v>0</v>
      </c>
      <c r="AE13" s="3" t="s">
        <v>76</v>
      </c>
      <c r="AF13" s="3">
        <v>2.5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1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 t="s">
        <v>116</v>
      </c>
      <c r="BA13" s="3" t="s">
        <v>117</v>
      </c>
      <c r="BE13" s="7"/>
    </row>
    <row r="14" spans="1:62">
      <c r="A14" s="3" t="s">
        <v>62</v>
      </c>
      <c r="B14" s="1" t="s">
        <v>118</v>
      </c>
      <c r="C14" s="1" t="s">
        <v>119</v>
      </c>
      <c r="D14" s="3" t="s">
        <v>120</v>
      </c>
      <c r="E14" s="4">
        <v>45911</v>
      </c>
      <c r="F14" s="1" t="s">
        <v>66</v>
      </c>
      <c r="G14" s="1" t="s">
        <v>121</v>
      </c>
      <c r="H14" s="1" t="s">
        <v>122</v>
      </c>
      <c r="I14" s="5" t="s">
        <v>123</v>
      </c>
      <c r="J14" s="5" t="s">
        <v>70</v>
      </c>
      <c r="K14" s="1">
        <v>12834</v>
      </c>
      <c r="L14" s="6" t="s">
        <v>124</v>
      </c>
      <c r="M14" s="9" t="s">
        <v>125</v>
      </c>
      <c r="N14" s="5">
        <v>30</v>
      </c>
      <c r="O14" s="3" t="s">
        <v>126</v>
      </c>
      <c r="P14" s="3">
        <v>340</v>
      </c>
      <c r="Q14" s="3">
        <v>340</v>
      </c>
      <c r="R14" s="3" t="s">
        <v>74</v>
      </c>
      <c r="S14" s="3">
        <v>1</v>
      </c>
      <c r="T14" s="3">
        <v>1</v>
      </c>
      <c r="U14" s="3">
        <v>0</v>
      </c>
      <c r="V14" s="3" t="s">
        <v>66</v>
      </c>
      <c r="W14" s="3">
        <v>0</v>
      </c>
      <c r="X14" s="3">
        <v>0</v>
      </c>
      <c r="Y14" s="3">
        <v>0</v>
      </c>
      <c r="Z14" s="3">
        <v>10</v>
      </c>
      <c r="AA14" s="3">
        <f>SUM(AB14,(AC14*0.67),(AD14*0.5))</f>
        <v>15.695</v>
      </c>
      <c r="AB14" s="3">
        <v>10</v>
      </c>
      <c r="AC14" s="3">
        <v>8.5</v>
      </c>
      <c r="AD14" s="3">
        <v>0</v>
      </c>
      <c r="AE14" s="3" t="s">
        <v>76</v>
      </c>
      <c r="AF14" s="3">
        <v>3</v>
      </c>
      <c r="AG14" s="3">
        <v>0</v>
      </c>
      <c r="AH14" s="3">
        <v>0</v>
      </c>
      <c r="AI14" s="3">
        <v>0</v>
      </c>
      <c r="AJ14" s="3">
        <v>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1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E14" s="7"/>
    </row>
    <row r="15" spans="1:62">
      <c r="A15" s="3" t="s">
        <v>62</v>
      </c>
      <c r="B15" s="1" t="s">
        <v>118</v>
      </c>
      <c r="C15" s="1" t="s">
        <v>119</v>
      </c>
      <c r="D15" s="3" t="s">
        <v>120</v>
      </c>
      <c r="E15" s="4">
        <v>45911</v>
      </c>
      <c r="F15" s="1" t="s">
        <v>66</v>
      </c>
      <c r="G15" s="1" t="s">
        <v>121</v>
      </c>
      <c r="H15" s="10" t="s">
        <v>122</v>
      </c>
      <c r="I15" s="1" t="s">
        <v>123</v>
      </c>
      <c r="J15" s="1" t="s">
        <v>70</v>
      </c>
      <c r="K15" s="1">
        <v>12834</v>
      </c>
      <c r="L15" s="6" t="s">
        <v>124</v>
      </c>
      <c r="M15" s="9" t="s">
        <v>125</v>
      </c>
      <c r="N15" s="5">
        <v>30</v>
      </c>
      <c r="O15" s="3" t="s">
        <v>127</v>
      </c>
      <c r="P15" s="3">
        <v>348</v>
      </c>
      <c r="Q15" s="3">
        <v>348</v>
      </c>
      <c r="R15" s="3" t="s">
        <v>74</v>
      </c>
      <c r="S15" s="3">
        <v>1</v>
      </c>
      <c r="T15" s="3">
        <v>2</v>
      </c>
      <c r="U15" s="3">
        <v>0</v>
      </c>
      <c r="V15" s="3" t="s">
        <v>66</v>
      </c>
      <c r="W15" s="3">
        <v>0</v>
      </c>
      <c r="X15" s="3">
        <v>0</v>
      </c>
      <c r="Y15" s="3">
        <v>0</v>
      </c>
      <c r="Z15" s="3">
        <v>10</v>
      </c>
      <c r="AA15" s="3">
        <f>SUM(AB15,(AC15*0.67),(AD15*0.5))</f>
        <v>6.0049999999999999</v>
      </c>
      <c r="AB15" s="3">
        <v>5</v>
      </c>
      <c r="AC15" s="3">
        <v>1.5</v>
      </c>
      <c r="AD15" s="3">
        <v>0</v>
      </c>
      <c r="AE15" s="3" t="s">
        <v>76</v>
      </c>
      <c r="AF15" s="3">
        <v>3</v>
      </c>
      <c r="AG15" s="3">
        <v>0</v>
      </c>
      <c r="AH15" s="3">
        <v>0</v>
      </c>
      <c r="AI15" s="3">
        <v>0</v>
      </c>
      <c r="AJ15" s="3">
        <v>1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1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E15" s="7"/>
    </row>
    <row r="16" spans="1:62">
      <c r="A16" s="3" t="s">
        <v>62</v>
      </c>
      <c r="B16" s="1" t="s">
        <v>118</v>
      </c>
      <c r="C16" s="1" t="s">
        <v>119</v>
      </c>
      <c r="D16" s="3" t="s">
        <v>120</v>
      </c>
      <c r="E16" s="4">
        <v>45911</v>
      </c>
      <c r="F16" s="1" t="s">
        <v>66</v>
      </c>
      <c r="G16" s="1" t="s">
        <v>121</v>
      </c>
      <c r="H16" s="1" t="s">
        <v>122</v>
      </c>
      <c r="I16" s="5" t="s">
        <v>123</v>
      </c>
      <c r="J16" s="5" t="s">
        <v>70</v>
      </c>
      <c r="K16" s="1">
        <v>12834</v>
      </c>
      <c r="L16" s="6" t="s">
        <v>124</v>
      </c>
      <c r="M16" s="9" t="s">
        <v>125</v>
      </c>
      <c r="N16" s="5">
        <v>30</v>
      </c>
      <c r="O16" s="3" t="s">
        <v>128</v>
      </c>
      <c r="P16" s="3">
        <v>349</v>
      </c>
      <c r="Q16" s="3">
        <v>349</v>
      </c>
      <c r="R16" s="3" t="s">
        <v>74</v>
      </c>
      <c r="S16" s="3">
        <v>2</v>
      </c>
      <c r="T16" s="3">
        <v>1</v>
      </c>
      <c r="U16" s="3">
        <v>0</v>
      </c>
      <c r="V16" s="3" t="s">
        <v>66</v>
      </c>
      <c r="W16" s="3">
        <v>0</v>
      </c>
      <c r="X16" s="3">
        <v>0</v>
      </c>
      <c r="Y16" s="3">
        <v>0</v>
      </c>
      <c r="Z16" s="3">
        <v>10</v>
      </c>
      <c r="AA16" s="3">
        <f>SUM(AB16,(AC16*0.67),(AD16*0.5))</f>
        <v>18.02</v>
      </c>
      <c r="AB16" s="3">
        <v>14</v>
      </c>
      <c r="AC16" s="3">
        <v>6</v>
      </c>
      <c r="AD16" s="3">
        <v>0</v>
      </c>
      <c r="AE16" s="3" t="s">
        <v>129</v>
      </c>
      <c r="AF16" s="3">
        <v>2</v>
      </c>
      <c r="AG16" s="3">
        <v>1</v>
      </c>
      <c r="AH16" s="3">
        <v>0</v>
      </c>
      <c r="AI16" s="3">
        <v>0</v>
      </c>
      <c r="AJ16" s="3">
        <v>1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1</v>
      </c>
      <c r="AS16" s="3">
        <v>0</v>
      </c>
      <c r="AT16" s="3">
        <v>0</v>
      </c>
      <c r="AU16" s="3">
        <v>0</v>
      </c>
      <c r="AV16" s="3">
        <v>1</v>
      </c>
      <c r="AW16" s="3">
        <v>0</v>
      </c>
      <c r="AX16" s="3">
        <v>0</v>
      </c>
      <c r="AY16" s="3">
        <v>0</v>
      </c>
      <c r="AZ16" s="3" t="s">
        <v>130</v>
      </c>
      <c r="BE16" s="7"/>
    </row>
    <row r="17" spans="1:57">
      <c r="A17" s="3" t="s">
        <v>62</v>
      </c>
      <c r="B17" s="1" t="s">
        <v>118</v>
      </c>
      <c r="C17" s="1" t="s">
        <v>119</v>
      </c>
      <c r="D17" s="3" t="s">
        <v>120</v>
      </c>
      <c r="E17" s="4">
        <v>45911</v>
      </c>
      <c r="F17" s="1" t="s">
        <v>66</v>
      </c>
      <c r="G17" s="1" t="s">
        <v>121</v>
      </c>
      <c r="H17" s="10" t="s">
        <v>122</v>
      </c>
      <c r="I17" s="1" t="s">
        <v>123</v>
      </c>
      <c r="J17" s="1" t="s">
        <v>70</v>
      </c>
      <c r="K17" s="1">
        <v>12834</v>
      </c>
      <c r="L17" s="6" t="s">
        <v>124</v>
      </c>
      <c r="M17" s="9" t="s">
        <v>125</v>
      </c>
      <c r="N17" s="5">
        <v>30</v>
      </c>
      <c r="O17" s="3" t="s">
        <v>131</v>
      </c>
      <c r="P17" s="3">
        <v>347</v>
      </c>
      <c r="Q17" s="3">
        <v>347</v>
      </c>
      <c r="R17" s="3" t="s">
        <v>74</v>
      </c>
      <c r="S17" s="3">
        <v>3</v>
      </c>
      <c r="T17" s="3">
        <v>0</v>
      </c>
      <c r="U17" s="3">
        <v>0</v>
      </c>
      <c r="V17" s="3" t="s">
        <v>66</v>
      </c>
      <c r="W17" s="3">
        <v>0</v>
      </c>
      <c r="X17" s="3">
        <v>0</v>
      </c>
      <c r="Y17" s="3">
        <v>0</v>
      </c>
      <c r="Z17" s="3">
        <v>10</v>
      </c>
      <c r="AA17" s="3">
        <f>SUM(AB17,(AC17*0.67),(AD17*0.5))</f>
        <v>18.5</v>
      </c>
      <c r="AB17" s="3">
        <v>18.5</v>
      </c>
      <c r="AC17" s="3">
        <v>0</v>
      </c>
      <c r="AD17" s="3">
        <v>0</v>
      </c>
      <c r="AE17" s="3" t="s">
        <v>76</v>
      </c>
      <c r="AF17" s="3">
        <v>3</v>
      </c>
      <c r="AG17" s="3">
        <v>0</v>
      </c>
      <c r="AH17" s="3">
        <v>0</v>
      </c>
      <c r="AI17" s="3">
        <v>0</v>
      </c>
      <c r="AJ17" s="3">
        <v>1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1</v>
      </c>
      <c r="AU17" s="3">
        <v>0</v>
      </c>
      <c r="AV17" s="3">
        <v>0</v>
      </c>
      <c r="AW17" s="3">
        <v>0</v>
      </c>
      <c r="AX17" s="3">
        <v>1</v>
      </c>
      <c r="AY17" s="3">
        <v>0</v>
      </c>
      <c r="AZ17" s="3" t="s">
        <v>132</v>
      </c>
      <c r="BE17" s="7"/>
    </row>
    <row r="18" spans="1:57">
      <c r="A18" s="3" t="s">
        <v>62</v>
      </c>
      <c r="B18" s="1" t="s">
        <v>118</v>
      </c>
      <c r="C18" s="1" t="s">
        <v>119</v>
      </c>
      <c r="D18" s="3" t="s">
        <v>120</v>
      </c>
      <c r="E18" s="4">
        <v>45911</v>
      </c>
      <c r="F18" s="1" t="s">
        <v>66</v>
      </c>
      <c r="G18" s="1" t="s">
        <v>121</v>
      </c>
      <c r="H18" s="1" t="s">
        <v>122</v>
      </c>
      <c r="I18" s="5" t="s">
        <v>123</v>
      </c>
      <c r="J18" s="5" t="s">
        <v>70</v>
      </c>
      <c r="K18" s="1">
        <v>12834</v>
      </c>
      <c r="L18" s="6" t="s">
        <v>124</v>
      </c>
      <c r="M18" s="9" t="s">
        <v>125</v>
      </c>
      <c r="N18" s="5">
        <v>30</v>
      </c>
      <c r="O18" s="3" t="s">
        <v>133</v>
      </c>
      <c r="P18" s="3">
        <v>346</v>
      </c>
      <c r="Q18" s="3">
        <v>346</v>
      </c>
      <c r="R18" s="3" t="s">
        <v>74</v>
      </c>
      <c r="S18" s="3">
        <v>2</v>
      </c>
      <c r="T18" s="3">
        <v>1</v>
      </c>
      <c r="U18" s="3">
        <v>0</v>
      </c>
      <c r="V18" s="3" t="s">
        <v>66</v>
      </c>
      <c r="W18" s="3">
        <v>0</v>
      </c>
      <c r="X18" s="3">
        <v>0</v>
      </c>
      <c r="Y18" s="3">
        <v>0</v>
      </c>
      <c r="Z18" s="3">
        <v>10</v>
      </c>
      <c r="AA18" s="3">
        <f>SUM(AB18,(AC18*0.67),(AD18*0.5))</f>
        <v>20.18</v>
      </c>
      <c r="AB18" s="3">
        <v>17.5</v>
      </c>
      <c r="AC18" s="3">
        <v>4</v>
      </c>
      <c r="AD18" s="3">
        <v>0</v>
      </c>
      <c r="AE18" s="3" t="s">
        <v>76</v>
      </c>
      <c r="AF18" s="3">
        <v>3</v>
      </c>
      <c r="AG18" s="3">
        <v>0</v>
      </c>
      <c r="AH18" s="3">
        <v>0</v>
      </c>
      <c r="AI18" s="3">
        <v>0</v>
      </c>
      <c r="AJ18" s="3">
        <v>1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1</v>
      </c>
      <c r="AS18" s="3">
        <v>1</v>
      </c>
      <c r="AT18" s="3">
        <v>1</v>
      </c>
      <c r="AU18" s="3">
        <v>0</v>
      </c>
      <c r="AV18" s="3">
        <v>0</v>
      </c>
      <c r="AW18" s="3">
        <v>0</v>
      </c>
      <c r="AX18" s="3">
        <v>1</v>
      </c>
      <c r="AY18" s="3">
        <v>0</v>
      </c>
      <c r="AZ18" s="3" t="s">
        <v>134</v>
      </c>
      <c r="BE18" s="7"/>
    </row>
    <row r="19" spans="1:57">
      <c r="A19" s="3" t="s">
        <v>62</v>
      </c>
      <c r="B19" s="1" t="s">
        <v>118</v>
      </c>
      <c r="C19" s="1" t="s">
        <v>119</v>
      </c>
      <c r="D19" s="3" t="s">
        <v>120</v>
      </c>
      <c r="E19" s="4">
        <v>45911</v>
      </c>
      <c r="F19" s="1" t="s">
        <v>66</v>
      </c>
      <c r="G19" s="1" t="s">
        <v>121</v>
      </c>
      <c r="H19" s="10" t="s">
        <v>122</v>
      </c>
      <c r="I19" s="1" t="s">
        <v>123</v>
      </c>
      <c r="J19" s="1" t="s">
        <v>70</v>
      </c>
      <c r="K19" s="1">
        <v>12834</v>
      </c>
      <c r="L19" s="6" t="s">
        <v>124</v>
      </c>
      <c r="M19" s="9" t="s">
        <v>125</v>
      </c>
      <c r="N19" s="5">
        <v>30</v>
      </c>
      <c r="O19" s="3" t="s">
        <v>135</v>
      </c>
      <c r="P19" s="3">
        <v>345</v>
      </c>
      <c r="Q19" s="3">
        <v>345</v>
      </c>
      <c r="R19" s="3" t="s">
        <v>74</v>
      </c>
      <c r="S19" s="3">
        <v>2</v>
      </c>
      <c r="T19" s="3">
        <v>1</v>
      </c>
      <c r="U19" s="3">
        <v>0</v>
      </c>
      <c r="V19" s="3" t="s">
        <v>66</v>
      </c>
      <c r="W19" s="3">
        <v>0</v>
      </c>
      <c r="X19" s="3">
        <v>0</v>
      </c>
      <c r="Y19" s="3">
        <v>0</v>
      </c>
      <c r="Z19" s="3">
        <v>10</v>
      </c>
      <c r="AA19" s="3">
        <f>SUM(AB19,(AC19*0.67),(AD19*0.5))</f>
        <v>11.51</v>
      </c>
      <c r="AB19" s="3">
        <v>9.5</v>
      </c>
      <c r="AC19" s="3">
        <v>3</v>
      </c>
      <c r="AD19" s="3">
        <v>0</v>
      </c>
      <c r="AE19" s="3" t="s">
        <v>76</v>
      </c>
      <c r="AF19" s="3">
        <v>2.5</v>
      </c>
      <c r="AG19" s="3">
        <v>0</v>
      </c>
      <c r="AH19" s="3">
        <v>0</v>
      </c>
      <c r="AI19" s="3">
        <v>0</v>
      </c>
      <c r="AJ19" s="3">
        <v>1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 t="s">
        <v>136</v>
      </c>
      <c r="BE19" s="7"/>
    </row>
    <row r="20" spans="1:57">
      <c r="A20" s="3" t="s">
        <v>62</v>
      </c>
      <c r="B20" s="1" t="s">
        <v>118</v>
      </c>
      <c r="C20" s="1" t="s">
        <v>119</v>
      </c>
      <c r="D20" s="3" t="s">
        <v>120</v>
      </c>
      <c r="E20" s="4">
        <v>45911</v>
      </c>
      <c r="F20" s="1" t="s">
        <v>66</v>
      </c>
      <c r="G20" s="1" t="s">
        <v>121</v>
      </c>
      <c r="H20" s="1" t="s">
        <v>122</v>
      </c>
      <c r="I20" s="5" t="s">
        <v>123</v>
      </c>
      <c r="J20" s="5" t="s">
        <v>70</v>
      </c>
      <c r="K20" s="1">
        <v>12834</v>
      </c>
      <c r="L20" s="6" t="s">
        <v>124</v>
      </c>
      <c r="M20" s="9" t="s">
        <v>125</v>
      </c>
      <c r="N20" s="5">
        <v>30</v>
      </c>
      <c r="O20" s="3" t="s">
        <v>137</v>
      </c>
      <c r="P20" s="3">
        <v>343</v>
      </c>
      <c r="Q20" s="3">
        <v>343</v>
      </c>
      <c r="R20" s="3" t="s">
        <v>74</v>
      </c>
      <c r="S20" s="3">
        <v>2</v>
      </c>
      <c r="T20" s="3">
        <v>0</v>
      </c>
      <c r="U20" s="3">
        <v>0</v>
      </c>
      <c r="V20" s="3" t="s">
        <v>66</v>
      </c>
      <c r="W20" s="3">
        <v>0</v>
      </c>
      <c r="X20" s="3">
        <v>0</v>
      </c>
      <c r="Y20" s="3">
        <v>0</v>
      </c>
      <c r="Z20" s="3">
        <v>10</v>
      </c>
      <c r="AA20" s="3">
        <f>SUM(AB20,(AC20*0.67),(AD20*0.5))</f>
        <v>10.5</v>
      </c>
      <c r="AB20" s="3">
        <v>10.5</v>
      </c>
      <c r="AC20" s="3">
        <v>0</v>
      </c>
      <c r="AD20" s="3">
        <v>0</v>
      </c>
      <c r="AE20" s="3" t="s">
        <v>76</v>
      </c>
      <c r="AF20" s="3">
        <v>3</v>
      </c>
      <c r="AG20" s="3">
        <v>0</v>
      </c>
      <c r="AH20" s="3">
        <v>0</v>
      </c>
      <c r="AI20" s="3">
        <v>0</v>
      </c>
      <c r="AJ20" s="3">
        <v>1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 t="s">
        <v>138</v>
      </c>
      <c r="BE20" s="7"/>
    </row>
    <row r="21" spans="1:57">
      <c r="A21" s="3" t="s">
        <v>62</v>
      </c>
      <c r="B21" s="1" t="s">
        <v>118</v>
      </c>
      <c r="C21" s="1" t="s">
        <v>119</v>
      </c>
      <c r="D21" s="3" t="s">
        <v>120</v>
      </c>
      <c r="E21" s="4">
        <v>45911</v>
      </c>
      <c r="F21" s="1" t="s">
        <v>66</v>
      </c>
      <c r="G21" s="1" t="s">
        <v>121</v>
      </c>
      <c r="H21" s="10" t="s">
        <v>122</v>
      </c>
      <c r="I21" s="1" t="s">
        <v>123</v>
      </c>
      <c r="J21" s="1" t="s">
        <v>70</v>
      </c>
      <c r="K21" s="1">
        <v>12834</v>
      </c>
      <c r="L21" s="6" t="s">
        <v>124</v>
      </c>
      <c r="M21" s="9" t="s">
        <v>125</v>
      </c>
      <c r="N21" s="5">
        <v>30</v>
      </c>
      <c r="O21" s="3" t="s">
        <v>139</v>
      </c>
      <c r="P21" s="3">
        <v>342</v>
      </c>
      <c r="Q21" s="3">
        <v>342</v>
      </c>
      <c r="R21" s="3" t="s">
        <v>74</v>
      </c>
      <c r="S21" s="3">
        <v>2</v>
      </c>
      <c r="T21" s="3">
        <v>1</v>
      </c>
      <c r="U21" s="3">
        <v>0</v>
      </c>
      <c r="V21" s="3" t="s">
        <v>66</v>
      </c>
      <c r="W21" s="3">
        <v>0</v>
      </c>
      <c r="X21" s="3">
        <v>4</v>
      </c>
      <c r="Y21" s="3">
        <v>0</v>
      </c>
      <c r="Z21" s="3">
        <v>10</v>
      </c>
      <c r="AA21" s="3">
        <f>SUM(AB21,(AC21*0.67),(AD21*0.5))</f>
        <v>13.67</v>
      </c>
      <c r="AB21" s="3">
        <v>13</v>
      </c>
      <c r="AC21" s="3">
        <v>1</v>
      </c>
      <c r="AD21" s="3">
        <v>0</v>
      </c>
      <c r="AE21" s="3" t="s">
        <v>76</v>
      </c>
      <c r="AF21" s="3">
        <v>3</v>
      </c>
      <c r="AG21" s="3">
        <v>0</v>
      </c>
      <c r="AH21" s="3">
        <v>0</v>
      </c>
      <c r="AI21" s="3">
        <v>0</v>
      </c>
      <c r="AJ21" s="3">
        <v>1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1</v>
      </c>
      <c r="AS21" s="3">
        <v>1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E21" s="7"/>
    </row>
    <row r="22" spans="1:57">
      <c r="A22" s="3" t="s">
        <v>62</v>
      </c>
      <c r="B22" s="1" t="s">
        <v>118</v>
      </c>
      <c r="C22" s="1" t="s">
        <v>119</v>
      </c>
      <c r="D22" s="3" t="s">
        <v>120</v>
      </c>
      <c r="E22" s="4">
        <v>45911</v>
      </c>
      <c r="F22" s="1" t="s">
        <v>66</v>
      </c>
      <c r="G22" s="1" t="s">
        <v>121</v>
      </c>
      <c r="H22" s="1" t="s">
        <v>122</v>
      </c>
      <c r="I22" s="5" t="s">
        <v>123</v>
      </c>
      <c r="J22" s="5" t="s">
        <v>70</v>
      </c>
      <c r="K22" s="1">
        <v>12834</v>
      </c>
      <c r="L22" s="6" t="s">
        <v>124</v>
      </c>
      <c r="M22" s="9" t="s">
        <v>125</v>
      </c>
      <c r="N22" s="5">
        <v>30</v>
      </c>
      <c r="O22" s="3" t="s">
        <v>140</v>
      </c>
      <c r="P22" s="3">
        <v>344</v>
      </c>
      <c r="Q22" s="3">
        <v>344</v>
      </c>
      <c r="R22" s="3" t="s">
        <v>74</v>
      </c>
      <c r="S22" s="3">
        <v>3</v>
      </c>
      <c r="T22" s="3">
        <v>0</v>
      </c>
      <c r="U22" s="3">
        <v>0</v>
      </c>
      <c r="V22" s="3" t="s">
        <v>66</v>
      </c>
      <c r="W22" s="3">
        <v>0</v>
      </c>
      <c r="X22" s="3">
        <v>0</v>
      </c>
      <c r="Y22" s="3">
        <v>0</v>
      </c>
      <c r="Z22" s="3">
        <v>10</v>
      </c>
      <c r="AA22" s="3">
        <f>SUM(AB22,(AC22*0.67),(AD22*0.5))</f>
        <v>15.5</v>
      </c>
      <c r="AB22" s="3">
        <v>15.5</v>
      </c>
      <c r="AC22" s="3">
        <v>0</v>
      </c>
      <c r="AD22" s="3">
        <v>0</v>
      </c>
      <c r="AE22" s="3" t="s">
        <v>76</v>
      </c>
      <c r="AF22" s="3">
        <v>2.5</v>
      </c>
      <c r="AG22" s="3">
        <v>0</v>
      </c>
      <c r="AH22" s="3">
        <v>0</v>
      </c>
      <c r="AI22" s="3">
        <v>0</v>
      </c>
      <c r="AJ22" s="3">
        <v>1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1</v>
      </c>
      <c r="AR22" s="3">
        <v>0</v>
      </c>
      <c r="AS22" s="3">
        <v>1</v>
      </c>
      <c r="AT22" s="3">
        <v>1</v>
      </c>
      <c r="AU22" s="3">
        <v>0</v>
      </c>
      <c r="AV22" s="3">
        <v>1</v>
      </c>
      <c r="AW22" s="3">
        <v>0</v>
      </c>
      <c r="AX22" s="3">
        <v>0</v>
      </c>
      <c r="AY22" s="3">
        <v>0</v>
      </c>
      <c r="AZ22" s="3" t="s">
        <v>141</v>
      </c>
      <c r="BE22" s="7"/>
    </row>
    <row r="23" spans="1:57">
      <c r="A23" s="3" t="s">
        <v>62</v>
      </c>
      <c r="B23" s="1" t="s">
        <v>118</v>
      </c>
      <c r="C23" s="1" t="s">
        <v>119</v>
      </c>
      <c r="D23" s="3" t="s">
        <v>120</v>
      </c>
      <c r="E23" s="4">
        <v>45911</v>
      </c>
      <c r="F23" s="1" t="s">
        <v>66</v>
      </c>
      <c r="G23" s="1" t="s">
        <v>121</v>
      </c>
      <c r="H23" s="10" t="s">
        <v>122</v>
      </c>
      <c r="I23" s="1" t="s">
        <v>123</v>
      </c>
      <c r="J23" s="1" t="s">
        <v>70</v>
      </c>
      <c r="K23" s="1">
        <v>12834</v>
      </c>
      <c r="L23" s="6" t="s">
        <v>124</v>
      </c>
      <c r="M23" s="9" t="s">
        <v>125</v>
      </c>
      <c r="N23" s="5">
        <v>30</v>
      </c>
      <c r="O23" s="3" t="s">
        <v>142</v>
      </c>
      <c r="P23" s="3">
        <v>341</v>
      </c>
      <c r="Q23" s="3">
        <v>341</v>
      </c>
      <c r="R23" s="3" t="s">
        <v>74</v>
      </c>
      <c r="S23" s="3">
        <v>2</v>
      </c>
      <c r="T23" s="3">
        <v>1</v>
      </c>
      <c r="U23" s="3">
        <v>0</v>
      </c>
      <c r="V23" s="3" t="s">
        <v>66</v>
      </c>
      <c r="W23" s="3">
        <v>0</v>
      </c>
      <c r="X23" s="3">
        <v>0</v>
      </c>
      <c r="Y23" s="3">
        <v>0</v>
      </c>
      <c r="Z23" s="3">
        <v>10</v>
      </c>
      <c r="AA23" s="3">
        <f>SUM(AB23,(AC23*0.67),(AD23*0.5))</f>
        <v>12.01</v>
      </c>
      <c r="AB23" s="3">
        <v>10</v>
      </c>
      <c r="AC23" s="3">
        <v>3</v>
      </c>
      <c r="AD23" s="3">
        <v>0</v>
      </c>
      <c r="AE23" s="3" t="s">
        <v>76</v>
      </c>
      <c r="AF23" s="3">
        <v>1.5</v>
      </c>
      <c r="AG23" s="3">
        <v>1</v>
      </c>
      <c r="AH23" s="3">
        <v>0</v>
      </c>
      <c r="AI23" s="3">
        <v>0</v>
      </c>
      <c r="AJ23" s="3">
        <v>1</v>
      </c>
      <c r="AK23" s="3">
        <v>0</v>
      </c>
      <c r="AL23" s="3">
        <v>0</v>
      </c>
      <c r="AM23" s="3">
        <v>0</v>
      </c>
      <c r="AN23" s="3">
        <v>1</v>
      </c>
      <c r="AO23" s="3">
        <v>0</v>
      </c>
      <c r="AP23" s="3">
        <v>0</v>
      </c>
      <c r="AQ23" s="3">
        <v>1</v>
      </c>
      <c r="AR23" s="3">
        <v>1</v>
      </c>
      <c r="AS23" s="3">
        <v>1</v>
      </c>
      <c r="AT23" s="3">
        <v>1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 t="s">
        <v>143</v>
      </c>
      <c r="BE23" s="7"/>
    </row>
    <row r="24" spans="1:57">
      <c r="A24" s="3" t="s">
        <v>62</v>
      </c>
      <c r="B24" s="1" t="s">
        <v>118</v>
      </c>
      <c r="C24" s="1" t="s">
        <v>119</v>
      </c>
      <c r="D24" s="3" t="s">
        <v>120</v>
      </c>
      <c r="E24" s="4">
        <v>45911</v>
      </c>
      <c r="F24" s="1" t="s">
        <v>66</v>
      </c>
      <c r="G24" s="1" t="s">
        <v>144</v>
      </c>
      <c r="H24" s="3" t="s">
        <v>145</v>
      </c>
      <c r="I24" s="3" t="s">
        <v>123</v>
      </c>
      <c r="J24" s="3" t="s">
        <v>70</v>
      </c>
      <c r="K24" s="1">
        <v>12834</v>
      </c>
      <c r="L24" s="3" t="s">
        <v>146</v>
      </c>
      <c r="M24" s="3" t="s">
        <v>147</v>
      </c>
      <c r="N24" s="5">
        <v>30</v>
      </c>
      <c r="O24" s="3" t="s">
        <v>148</v>
      </c>
      <c r="P24" s="3">
        <v>354</v>
      </c>
      <c r="Q24" s="3">
        <v>354</v>
      </c>
      <c r="R24" s="3" t="s">
        <v>74</v>
      </c>
      <c r="S24" s="3">
        <v>2</v>
      </c>
      <c r="T24" s="3">
        <v>1</v>
      </c>
      <c r="U24" s="3">
        <v>0</v>
      </c>
      <c r="V24" s="3" t="s">
        <v>66</v>
      </c>
      <c r="W24" s="3">
        <v>0</v>
      </c>
      <c r="X24" s="3">
        <v>0</v>
      </c>
      <c r="Y24" s="3">
        <v>0</v>
      </c>
      <c r="Z24" s="3">
        <v>10</v>
      </c>
      <c r="AA24" s="3">
        <f>SUM(AB24,(AC24*0.67),(AD24*0.5))</f>
        <v>14.52</v>
      </c>
      <c r="AB24" s="3">
        <v>10.5</v>
      </c>
      <c r="AC24" s="3">
        <v>6</v>
      </c>
      <c r="AD24" s="3">
        <v>0</v>
      </c>
      <c r="AE24" s="3" t="s">
        <v>76</v>
      </c>
      <c r="AF24" s="3">
        <v>2.5</v>
      </c>
      <c r="AG24" s="3">
        <v>0</v>
      </c>
      <c r="AH24" s="3">
        <v>0</v>
      </c>
      <c r="AI24" s="3">
        <v>0</v>
      </c>
      <c r="AJ24" s="3">
        <v>1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1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E24" s="7"/>
    </row>
    <row r="25" spans="1:57">
      <c r="A25" s="3" t="s">
        <v>62</v>
      </c>
      <c r="B25" s="1" t="s">
        <v>118</v>
      </c>
      <c r="C25" s="1" t="s">
        <v>119</v>
      </c>
      <c r="D25" s="3" t="s">
        <v>120</v>
      </c>
      <c r="E25" s="4">
        <v>45911</v>
      </c>
      <c r="F25" s="1" t="s">
        <v>66</v>
      </c>
      <c r="G25" s="1" t="s">
        <v>144</v>
      </c>
      <c r="H25" s="3" t="s">
        <v>145</v>
      </c>
      <c r="I25" s="3" t="s">
        <v>123</v>
      </c>
      <c r="J25" s="3" t="s">
        <v>70</v>
      </c>
      <c r="K25" s="1">
        <v>12834</v>
      </c>
      <c r="L25" s="3" t="s">
        <v>146</v>
      </c>
      <c r="M25" s="3" t="s">
        <v>147</v>
      </c>
      <c r="N25" s="5">
        <v>30</v>
      </c>
      <c r="O25" s="3" t="s">
        <v>149</v>
      </c>
      <c r="P25" s="3">
        <v>359</v>
      </c>
      <c r="Q25" s="3">
        <v>359</v>
      </c>
      <c r="R25" s="3" t="s">
        <v>74</v>
      </c>
      <c r="S25" s="3">
        <v>2</v>
      </c>
      <c r="T25" s="3">
        <v>0</v>
      </c>
      <c r="U25" s="3">
        <v>0</v>
      </c>
      <c r="V25" s="3" t="s">
        <v>66</v>
      </c>
      <c r="W25" s="3">
        <v>0</v>
      </c>
      <c r="X25" s="3">
        <v>0</v>
      </c>
      <c r="Y25" s="3">
        <v>0</v>
      </c>
      <c r="Z25" s="3">
        <v>10</v>
      </c>
      <c r="AA25" s="3">
        <f>SUM(AB25,(AC25*0.67),(AD25*0.5))</f>
        <v>14</v>
      </c>
      <c r="AB25" s="3">
        <v>14</v>
      </c>
      <c r="AC25" s="3">
        <v>0</v>
      </c>
      <c r="AD25" s="3">
        <v>0</v>
      </c>
      <c r="AE25" s="3" t="s">
        <v>76</v>
      </c>
      <c r="AF25" s="3">
        <v>2.5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1</v>
      </c>
      <c r="AS25" s="3">
        <v>0</v>
      </c>
      <c r="AT25" s="3">
        <v>0</v>
      </c>
      <c r="AU25" s="3">
        <v>0</v>
      </c>
      <c r="AV25" s="3">
        <v>1</v>
      </c>
      <c r="AW25" s="3">
        <v>0</v>
      </c>
      <c r="AX25" s="3">
        <v>0</v>
      </c>
      <c r="AY25" s="3">
        <v>0</v>
      </c>
      <c r="AZ25" s="3">
        <v>0</v>
      </c>
      <c r="BE25" s="7"/>
    </row>
    <row r="26" spans="1:57">
      <c r="A26" s="3" t="s">
        <v>62</v>
      </c>
      <c r="B26" s="1" t="s">
        <v>118</v>
      </c>
      <c r="C26" s="1" t="s">
        <v>119</v>
      </c>
      <c r="D26" s="3" t="s">
        <v>120</v>
      </c>
      <c r="E26" s="4">
        <v>45911</v>
      </c>
      <c r="F26" s="1" t="s">
        <v>66</v>
      </c>
      <c r="G26" s="1" t="s">
        <v>144</v>
      </c>
      <c r="H26" s="3" t="s">
        <v>145</v>
      </c>
      <c r="I26" s="3" t="s">
        <v>123</v>
      </c>
      <c r="J26" s="3" t="s">
        <v>70</v>
      </c>
      <c r="K26" s="1">
        <v>12834</v>
      </c>
      <c r="L26" s="3" t="s">
        <v>146</v>
      </c>
      <c r="M26" s="3" t="s">
        <v>147</v>
      </c>
      <c r="N26" s="5">
        <v>30</v>
      </c>
      <c r="O26" s="3" t="s">
        <v>150</v>
      </c>
      <c r="P26" s="3">
        <v>355</v>
      </c>
      <c r="Q26" s="3">
        <v>355</v>
      </c>
      <c r="R26" s="3" t="s">
        <v>74</v>
      </c>
      <c r="S26" s="3">
        <v>2</v>
      </c>
      <c r="T26" s="3">
        <v>0</v>
      </c>
      <c r="U26" s="3">
        <v>0</v>
      </c>
      <c r="V26" s="3" t="s">
        <v>66</v>
      </c>
      <c r="W26" s="3">
        <v>0</v>
      </c>
      <c r="X26" s="3">
        <v>0</v>
      </c>
      <c r="Y26" s="3">
        <v>0</v>
      </c>
      <c r="Z26" s="3">
        <v>10</v>
      </c>
      <c r="AA26" s="3">
        <f>SUM(AB26,(AC26*0.67),(AD26*0.5))</f>
        <v>11</v>
      </c>
      <c r="AB26" s="3">
        <v>11</v>
      </c>
      <c r="AC26" s="3">
        <v>0</v>
      </c>
      <c r="AD26" s="3">
        <v>0</v>
      </c>
      <c r="AE26" s="3" t="s">
        <v>76</v>
      </c>
      <c r="AF26" s="3">
        <v>3.5</v>
      </c>
      <c r="AG26" s="3">
        <v>0</v>
      </c>
      <c r="AH26" s="3">
        <v>0</v>
      </c>
      <c r="AI26" s="3">
        <v>0</v>
      </c>
      <c r="AJ26" s="3">
        <v>1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1</v>
      </c>
      <c r="AS26" s="3">
        <v>0</v>
      </c>
      <c r="AT26" s="3">
        <v>1</v>
      </c>
      <c r="AU26" s="3">
        <v>0</v>
      </c>
      <c r="AV26" s="3">
        <v>0</v>
      </c>
      <c r="AW26" s="3">
        <v>0</v>
      </c>
      <c r="AX26" s="3">
        <v>1</v>
      </c>
      <c r="AY26" s="3">
        <v>0</v>
      </c>
      <c r="AZ26" s="3" t="s">
        <v>151</v>
      </c>
      <c r="BE26" s="7"/>
    </row>
    <row r="27" spans="1:57">
      <c r="A27" s="3" t="s">
        <v>62</v>
      </c>
      <c r="B27" s="1" t="s">
        <v>118</v>
      </c>
      <c r="C27" s="1" t="s">
        <v>119</v>
      </c>
      <c r="D27" s="3" t="s">
        <v>120</v>
      </c>
      <c r="E27" s="4">
        <v>45911</v>
      </c>
      <c r="F27" s="1" t="s">
        <v>66</v>
      </c>
      <c r="G27" s="1" t="s">
        <v>144</v>
      </c>
      <c r="H27" s="3" t="s">
        <v>145</v>
      </c>
      <c r="I27" s="3" t="s">
        <v>123</v>
      </c>
      <c r="J27" s="3" t="s">
        <v>70</v>
      </c>
      <c r="K27" s="1">
        <v>12834</v>
      </c>
      <c r="L27" s="3" t="s">
        <v>146</v>
      </c>
      <c r="M27" s="3" t="s">
        <v>147</v>
      </c>
      <c r="N27" s="5">
        <v>30</v>
      </c>
      <c r="O27" s="3" t="s">
        <v>152</v>
      </c>
      <c r="P27" s="3">
        <v>351</v>
      </c>
      <c r="Q27" s="3">
        <v>351</v>
      </c>
      <c r="R27" s="3" t="s">
        <v>74</v>
      </c>
      <c r="S27" s="3">
        <v>2</v>
      </c>
      <c r="T27" s="3">
        <v>0</v>
      </c>
      <c r="U27" s="3">
        <v>0</v>
      </c>
      <c r="V27" s="3" t="s">
        <v>66</v>
      </c>
      <c r="W27" s="3">
        <v>0</v>
      </c>
      <c r="X27" s="3">
        <v>0</v>
      </c>
      <c r="Y27" s="3">
        <v>0</v>
      </c>
      <c r="Z27" s="3">
        <v>10</v>
      </c>
      <c r="AA27" s="3">
        <f>SUM(AB27,(AC27*0.67),(AD27*0.5))</f>
        <v>11.5</v>
      </c>
      <c r="AB27" s="3">
        <v>11.5</v>
      </c>
      <c r="AC27" s="3">
        <v>0</v>
      </c>
      <c r="AD27" s="3">
        <v>0</v>
      </c>
      <c r="AE27" s="3" t="s">
        <v>76</v>
      </c>
      <c r="AF27" s="3">
        <v>2.5</v>
      </c>
      <c r="AG27" s="3">
        <v>0</v>
      </c>
      <c r="AH27" s="3">
        <v>0</v>
      </c>
      <c r="AI27" s="3">
        <v>0</v>
      </c>
      <c r="AJ27" s="3">
        <v>1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1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E27" s="7"/>
    </row>
    <row r="28" spans="1:57">
      <c r="A28" s="3" t="s">
        <v>62</v>
      </c>
      <c r="B28" s="1" t="s">
        <v>118</v>
      </c>
      <c r="C28" s="1" t="s">
        <v>119</v>
      </c>
      <c r="D28" s="3" t="s">
        <v>120</v>
      </c>
      <c r="E28" s="4">
        <v>45911</v>
      </c>
      <c r="F28" s="1" t="s">
        <v>66</v>
      </c>
      <c r="G28" s="1" t="s">
        <v>144</v>
      </c>
      <c r="H28" s="3" t="s">
        <v>145</v>
      </c>
      <c r="I28" s="3" t="s">
        <v>123</v>
      </c>
      <c r="J28" s="3" t="s">
        <v>70</v>
      </c>
      <c r="K28" s="1">
        <v>12834</v>
      </c>
      <c r="L28" s="3" t="s">
        <v>146</v>
      </c>
      <c r="M28" s="3" t="s">
        <v>147</v>
      </c>
      <c r="N28" s="5">
        <v>30</v>
      </c>
      <c r="O28" s="3" t="s">
        <v>153</v>
      </c>
      <c r="P28" s="3">
        <v>357</v>
      </c>
      <c r="Q28" s="3">
        <v>357</v>
      </c>
      <c r="R28" s="3" t="s">
        <v>74</v>
      </c>
      <c r="S28" s="3">
        <v>2</v>
      </c>
      <c r="T28" s="3">
        <v>1</v>
      </c>
      <c r="U28" s="3">
        <v>0</v>
      </c>
      <c r="V28" s="3" t="s">
        <v>66</v>
      </c>
      <c r="W28" s="3">
        <v>0</v>
      </c>
      <c r="X28" s="3">
        <v>0</v>
      </c>
      <c r="Y28" s="3">
        <v>0</v>
      </c>
      <c r="Z28" s="3">
        <v>10</v>
      </c>
      <c r="AA28" s="3">
        <f>SUM(AB28,(AC28*0.67),(AD28*0.5))</f>
        <v>15.375</v>
      </c>
      <c r="AB28" s="3">
        <v>7</v>
      </c>
      <c r="AC28" s="3">
        <v>12.5</v>
      </c>
      <c r="AD28" s="3">
        <v>0</v>
      </c>
      <c r="AE28" s="3" t="s">
        <v>76</v>
      </c>
      <c r="AF28" s="3">
        <v>4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 t="s">
        <v>154</v>
      </c>
      <c r="BE28" s="7"/>
    </row>
    <row r="29" spans="1:57">
      <c r="A29" s="3" t="s">
        <v>62</v>
      </c>
      <c r="B29" s="1" t="s">
        <v>118</v>
      </c>
      <c r="C29" s="1" t="s">
        <v>119</v>
      </c>
      <c r="D29" s="3" t="s">
        <v>120</v>
      </c>
      <c r="E29" s="4">
        <v>45911</v>
      </c>
      <c r="F29" s="1" t="s">
        <v>66</v>
      </c>
      <c r="G29" s="1" t="s">
        <v>144</v>
      </c>
      <c r="H29" s="3" t="s">
        <v>145</v>
      </c>
      <c r="I29" s="3" t="s">
        <v>123</v>
      </c>
      <c r="J29" s="3" t="s">
        <v>70</v>
      </c>
      <c r="K29" s="1">
        <v>12834</v>
      </c>
      <c r="L29" s="3" t="s">
        <v>146</v>
      </c>
      <c r="M29" s="3" t="s">
        <v>147</v>
      </c>
      <c r="N29" s="5">
        <v>30</v>
      </c>
      <c r="O29" s="3" t="s">
        <v>155</v>
      </c>
      <c r="P29" s="3">
        <v>350</v>
      </c>
      <c r="Q29" s="3">
        <v>350</v>
      </c>
      <c r="R29" s="3" t="s">
        <v>74</v>
      </c>
      <c r="S29" s="3">
        <v>3</v>
      </c>
      <c r="T29" s="3">
        <v>0</v>
      </c>
      <c r="U29" s="3">
        <v>0</v>
      </c>
      <c r="V29" s="3" t="s">
        <v>66</v>
      </c>
      <c r="W29" s="3">
        <v>0</v>
      </c>
      <c r="X29" s="3">
        <v>0</v>
      </c>
      <c r="Y29" s="3">
        <v>0</v>
      </c>
      <c r="Z29" s="3">
        <v>10</v>
      </c>
      <c r="AA29" s="3">
        <f>SUM(AB29,(AC29*0.67),(AD29*0.5))</f>
        <v>12</v>
      </c>
      <c r="AB29" s="3">
        <v>12</v>
      </c>
      <c r="AC29" s="3">
        <v>0</v>
      </c>
      <c r="AD29" s="3">
        <v>0</v>
      </c>
      <c r="AE29" s="3" t="s">
        <v>76</v>
      </c>
      <c r="AF29" s="3">
        <v>2</v>
      </c>
      <c r="AG29" s="3">
        <v>0</v>
      </c>
      <c r="AH29" s="3">
        <v>0</v>
      </c>
      <c r="AI29" s="3">
        <v>0</v>
      </c>
      <c r="AJ29" s="3">
        <v>1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1</v>
      </c>
      <c r="AW29" s="3">
        <v>0</v>
      </c>
      <c r="AX29" s="3">
        <v>0</v>
      </c>
      <c r="AY29" s="3">
        <v>0</v>
      </c>
      <c r="AZ29" s="3" t="s">
        <v>156</v>
      </c>
      <c r="BE29" s="7"/>
    </row>
    <row r="30" spans="1:57">
      <c r="A30" s="3" t="s">
        <v>62</v>
      </c>
      <c r="B30" s="1" t="s">
        <v>118</v>
      </c>
      <c r="C30" s="1" t="s">
        <v>119</v>
      </c>
      <c r="D30" s="3" t="s">
        <v>120</v>
      </c>
      <c r="E30" s="4">
        <v>45911</v>
      </c>
      <c r="F30" s="1" t="s">
        <v>66</v>
      </c>
      <c r="G30" s="1" t="s">
        <v>144</v>
      </c>
      <c r="H30" s="3" t="s">
        <v>145</v>
      </c>
      <c r="I30" s="3" t="s">
        <v>123</v>
      </c>
      <c r="J30" s="3" t="s">
        <v>70</v>
      </c>
      <c r="K30" s="1">
        <v>12834</v>
      </c>
      <c r="L30" s="3" t="s">
        <v>146</v>
      </c>
      <c r="M30" s="3" t="s">
        <v>147</v>
      </c>
      <c r="N30" s="5">
        <v>30</v>
      </c>
      <c r="O30" s="3" t="s">
        <v>157</v>
      </c>
      <c r="P30" s="3">
        <v>353</v>
      </c>
      <c r="Q30" s="3">
        <v>353</v>
      </c>
      <c r="R30" s="3" t="s">
        <v>74</v>
      </c>
      <c r="S30" s="3">
        <v>2</v>
      </c>
      <c r="T30" s="3">
        <v>0</v>
      </c>
      <c r="U30" s="3">
        <v>0</v>
      </c>
      <c r="V30" s="3" t="s">
        <v>66</v>
      </c>
      <c r="W30" s="3">
        <v>0</v>
      </c>
      <c r="X30" s="3">
        <v>0</v>
      </c>
      <c r="Y30" s="3">
        <v>0</v>
      </c>
      <c r="Z30" s="3">
        <v>10</v>
      </c>
      <c r="AA30" s="3">
        <f>SUM(AB30,(AC30*0.67),(AD30*0.5))</f>
        <v>17</v>
      </c>
      <c r="AB30" s="3">
        <v>17</v>
      </c>
      <c r="AC30" s="3">
        <v>0</v>
      </c>
      <c r="AD30" s="3">
        <v>0</v>
      </c>
      <c r="AE30" s="3" t="s">
        <v>76</v>
      </c>
      <c r="AF30" s="3">
        <v>3</v>
      </c>
      <c r="AG30" s="3">
        <v>0</v>
      </c>
      <c r="AH30" s="3">
        <v>0</v>
      </c>
      <c r="AI30" s="3">
        <v>0</v>
      </c>
      <c r="AJ30" s="3">
        <v>1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 t="s">
        <v>92</v>
      </c>
      <c r="BE30" s="7"/>
    </row>
    <row r="31" spans="1:57">
      <c r="A31" s="3" t="s">
        <v>62</v>
      </c>
      <c r="B31" s="1" t="s">
        <v>118</v>
      </c>
      <c r="C31" s="1" t="s">
        <v>119</v>
      </c>
      <c r="D31" s="3" t="s">
        <v>120</v>
      </c>
      <c r="E31" s="4">
        <v>45911</v>
      </c>
      <c r="F31" s="1" t="s">
        <v>66</v>
      </c>
      <c r="G31" s="1" t="s">
        <v>144</v>
      </c>
      <c r="H31" s="3" t="s">
        <v>145</v>
      </c>
      <c r="I31" s="3" t="s">
        <v>123</v>
      </c>
      <c r="J31" s="3" t="s">
        <v>70</v>
      </c>
      <c r="K31" s="1">
        <v>12834</v>
      </c>
      <c r="L31" s="3" t="s">
        <v>146</v>
      </c>
      <c r="M31" s="3" t="s">
        <v>147</v>
      </c>
      <c r="N31" s="5">
        <v>30</v>
      </c>
      <c r="O31" s="3" t="s">
        <v>158</v>
      </c>
      <c r="P31" s="3">
        <v>352</v>
      </c>
      <c r="Q31" s="3">
        <v>352</v>
      </c>
      <c r="R31" s="3" t="s">
        <v>74</v>
      </c>
      <c r="S31" s="3">
        <v>1</v>
      </c>
      <c r="T31" s="3">
        <v>1</v>
      </c>
      <c r="U31" s="3">
        <v>0</v>
      </c>
      <c r="V31" s="3" t="s">
        <v>66</v>
      </c>
      <c r="W31" s="3">
        <v>0</v>
      </c>
      <c r="X31" s="3">
        <v>0</v>
      </c>
      <c r="Y31" s="3">
        <v>0</v>
      </c>
      <c r="Z31" s="3">
        <v>10</v>
      </c>
      <c r="AA31" s="3">
        <f>SUM(AB31,(AC31*0.67),(AD31*0.5))</f>
        <v>7.69</v>
      </c>
      <c r="AB31" s="3">
        <v>3</v>
      </c>
      <c r="AC31" s="3">
        <v>7</v>
      </c>
      <c r="AD31" s="3">
        <v>0</v>
      </c>
      <c r="AE31" s="3" t="s">
        <v>159</v>
      </c>
      <c r="AF31" s="3">
        <v>0</v>
      </c>
      <c r="AG31" s="3">
        <v>0</v>
      </c>
      <c r="AH31" s="3">
        <v>0</v>
      </c>
      <c r="AI31" s="3">
        <v>0</v>
      </c>
      <c r="AJ31" s="3">
        <v>1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1</v>
      </c>
      <c r="AV31" s="3">
        <v>0</v>
      </c>
      <c r="AW31" s="3">
        <v>0</v>
      </c>
      <c r="AX31" s="3">
        <v>0</v>
      </c>
      <c r="AY31" s="3">
        <v>0</v>
      </c>
      <c r="AZ31" s="3" t="s">
        <v>160</v>
      </c>
      <c r="BE31" s="7"/>
    </row>
    <row r="32" spans="1:57">
      <c r="A32" s="3" t="s">
        <v>62</v>
      </c>
      <c r="B32" s="1" t="s">
        <v>118</v>
      </c>
      <c r="C32" s="1" t="s">
        <v>119</v>
      </c>
      <c r="D32" s="3" t="s">
        <v>120</v>
      </c>
      <c r="E32" s="4">
        <v>45911</v>
      </c>
      <c r="F32" s="1" t="s">
        <v>66</v>
      </c>
      <c r="G32" s="1" t="s">
        <v>144</v>
      </c>
      <c r="H32" s="3" t="s">
        <v>145</v>
      </c>
      <c r="I32" s="3" t="s">
        <v>123</v>
      </c>
      <c r="J32" s="3" t="s">
        <v>70</v>
      </c>
      <c r="K32" s="1">
        <v>12834</v>
      </c>
      <c r="L32" s="3" t="s">
        <v>146</v>
      </c>
      <c r="M32" s="3" t="s">
        <v>147</v>
      </c>
      <c r="N32" s="5">
        <v>30</v>
      </c>
      <c r="O32" s="3" t="s">
        <v>161</v>
      </c>
      <c r="P32" s="3">
        <v>358</v>
      </c>
      <c r="Q32" s="3">
        <v>358</v>
      </c>
      <c r="R32" s="3" t="s">
        <v>74</v>
      </c>
      <c r="S32" s="3">
        <v>2</v>
      </c>
      <c r="T32" s="3">
        <v>0</v>
      </c>
      <c r="U32" s="3">
        <v>0</v>
      </c>
      <c r="V32" s="3" t="s">
        <v>66</v>
      </c>
      <c r="W32" s="3">
        <v>0</v>
      </c>
      <c r="X32" s="3">
        <v>0</v>
      </c>
      <c r="Y32" s="3">
        <v>0</v>
      </c>
      <c r="Z32" s="3">
        <v>10</v>
      </c>
      <c r="AA32" s="3">
        <f>SUM(AB32,(AC32*0.67),(AD32*0.5))</f>
        <v>15.5</v>
      </c>
      <c r="AB32" s="3">
        <v>15.5</v>
      </c>
      <c r="AC32" s="3">
        <v>0</v>
      </c>
      <c r="AD32" s="3">
        <v>0</v>
      </c>
      <c r="AE32" s="3" t="s">
        <v>76</v>
      </c>
      <c r="AF32" s="3">
        <v>3</v>
      </c>
      <c r="AG32" s="3">
        <v>0</v>
      </c>
      <c r="AH32" s="3">
        <v>0</v>
      </c>
      <c r="AI32" s="3">
        <v>0</v>
      </c>
      <c r="AJ32" s="3">
        <v>1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1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 t="s">
        <v>162</v>
      </c>
      <c r="BE32" s="7"/>
    </row>
    <row r="33" spans="1:57">
      <c r="A33" s="3" t="s">
        <v>62</v>
      </c>
      <c r="B33" s="1" t="s">
        <v>118</v>
      </c>
      <c r="C33" s="1" t="s">
        <v>119</v>
      </c>
      <c r="D33" s="3" t="s">
        <v>120</v>
      </c>
      <c r="E33" s="4">
        <v>45911</v>
      </c>
      <c r="F33" s="1" t="s">
        <v>66</v>
      </c>
      <c r="G33" s="1" t="s">
        <v>144</v>
      </c>
      <c r="H33" s="3" t="s">
        <v>145</v>
      </c>
      <c r="I33" s="3" t="s">
        <v>123</v>
      </c>
      <c r="J33" s="3" t="s">
        <v>70</v>
      </c>
      <c r="K33" s="1">
        <v>12834</v>
      </c>
      <c r="L33" s="3" t="s">
        <v>146</v>
      </c>
      <c r="M33" s="3" t="s">
        <v>147</v>
      </c>
      <c r="N33" s="5">
        <v>30</v>
      </c>
      <c r="O33" s="3" t="s">
        <v>163</v>
      </c>
      <c r="P33" s="3">
        <v>356</v>
      </c>
      <c r="Q33" s="3">
        <v>356</v>
      </c>
      <c r="R33" s="3" t="s">
        <v>74</v>
      </c>
      <c r="S33" s="3">
        <v>2</v>
      </c>
      <c r="T33" s="3">
        <v>0</v>
      </c>
      <c r="U33" s="3">
        <v>0</v>
      </c>
      <c r="V33" s="3" t="s">
        <v>66</v>
      </c>
      <c r="W33" s="3">
        <v>0</v>
      </c>
      <c r="X33" s="3">
        <v>0</v>
      </c>
      <c r="Y33" s="3">
        <v>0</v>
      </c>
      <c r="Z33" s="3">
        <v>10</v>
      </c>
      <c r="AA33" s="3">
        <f>SUM(AB33,(AC33*0.67),(AD33*0.5))</f>
        <v>12</v>
      </c>
      <c r="AB33" s="3">
        <v>12</v>
      </c>
      <c r="AC33" s="3">
        <v>0</v>
      </c>
      <c r="AD33" s="3">
        <v>0</v>
      </c>
      <c r="AE33" s="3" t="s">
        <v>76</v>
      </c>
      <c r="AF33" s="3">
        <v>2.5</v>
      </c>
      <c r="AG33" s="3">
        <v>0</v>
      </c>
      <c r="AH33" s="3">
        <v>0</v>
      </c>
      <c r="AI33" s="3">
        <v>0</v>
      </c>
      <c r="AJ33" s="3">
        <v>1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1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1</v>
      </c>
      <c r="AZ33" s="3" t="s">
        <v>164</v>
      </c>
      <c r="BE33" s="7"/>
    </row>
    <row r="34" spans="1:57">
      <c r="A34" s="3" t="s">
        <v>62</v>
      </c>
      <c r="B34" s="1" t="s">
        <v>165</v>
      </c>
      <c r="C34" s="1" t="s">
        <v>166</v>
      </c>
      <c r="D34" s="3" t="s">
        <v>167</v>
      </c>
      <c r="E34" s="4" t="s">
        <v>168</v>
      </c>
      <c r="F34" s="1" t="s">
        <v>66</v>
      </c>
      <c r="G34" s="1" t="s">
        <v>169</v>
      </c>
      <c r="H34" s="1" t="s">
        <v>170</v>
      </c>
      <c r="I34" s="1" t="s">
        <v>171</v>
      </c>
      <c r="J34" s="1" t="s">
        <v>70</v>
      </c>
      <c r="K34" s="3">
        <v>14542</v>
      </c>
      <c r="L34" s="3">
        <v>43.134160000000001</v>
      </c>
      <c r="M34" s="3">
        <v>-76.883960000000002</v>
      </c>
      <c r="N34" s="5">
        <v>5</v>
      </c>
      <c r="O34" s="3" t="s">
        <v>172</v>
      </c>
      <c r="P34" s="3">
        <v>325</v>
      </c>
      <c r="Q34" s="3">
        <v>325</v>
      </c>
      <c r="R34" s="3" t="s">
        <v>74</v>
      </c>
      <c r="S34" s="3">
        <v>2</v>
      </c>
      <c r="T34" s="3">
        <v>0</v>
      </c>
      <c r="U34" s="3">
        <v>0</v>
      </c>
      <c r="V34" s="3" t="s">
        <v>66</v>
      </c>
      <c r="W34" s="3">
        <v>0</v>
      </c>
      <c r="X34" s="3">
        <v>0</v>
      </c>
      <c r="Y34" s="3">
        <v>0</v>
      </c>
      <c r="Z34" s="3">
        <v>10</v>
      </c>
      <c r="AA34" s="3">
        <f>SUM(AB34:AD34)</f>
        <v>13.5</v>
      </c>
      <c r="AB34" s="3">
        <v>13.5</v>
      </c>
      <c r="AC34" s="3">
        <v>0</v>
      </c>
      <c r="AD34" s="3">
        <v>0</v>
      </c>
      <c r="AE34" s="3" t="s">
        <v>76</v>
      </c>
      <c r="AF34" s="3">
        <v>3</v>
      </c>
      <c r="AG34" s="3">
        <v>1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1</v>
      </c>
      <c r="AO34" s="3">
        <v>0</v>
      </c>
      <c r="AP34" s="3">
        <v>0</v>
      </c>
      <c r="AQ34" s="3">
        <v>1</v>
      </c>
      <c r="AR34" s="3">
        <v>1</v>
      </c>
      <c r="AS34" s="3">
        <v>1</v>
      </c>
      <c r="AT34" s="3">
        <v>1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 t="s">
        <v>173</v>
      </c>
      <c r="BE34" s="7"/>
    </row>
    <row r="35" spans="1:57">
      <c r="A35" s="3" t="s">
        <v>62</v>
      </c>
      <c r="B35" s="1" t="s">
        <v>165</v>
      </c>
      <c r="C35" s="1" t="s">
        <v>166</v>
      </c>
      <c r="D35" s="3" t="s">
        <v>167</v>
      </c>
      <c r="E35" s="4" t="s">
        <v>168</v>
      </c>
      <c r="F35" s="1" t="s">
        <v>66</v>
      </c>
      <c r="G35" s="1" t="s">
        <v>169</v>
      </c>
      <c r="H35" s="1" t="s">
        <v>174</v>
      </c>
      <c r="I35" s="1" t="s">
        <v>171</v>
      </c>
      <c r="J35" s="1" t="s">
        <v>70</v>
      </c>
      <c r="K35" s="3">
        <v>14542</v>
      </c>
      <c r="L35" s="3">
        <v>43.134160000000001</v>
      </c>
      <c r="M35" s="3">
        <v>-76.883960000000002</v>
      </c>
      <c r="N35" s="5">
        <v>5</v>
      </c>
      <c r="O35" s="22" t="s">
        <v>175</v>
      </c>
      <c r="P35" s="3">
        <v>321</v>
      </c>
      <c r="Q35" s="3">
        <v>321</v>
      </c>
      <c r="R35" s="3" t="s">
        <v>74</v>
      </c>
      <c r="S35" s="3">
        <v>2</v>
      </c>
      <c r="T35" s="3">
        <v>0</v>
      </c>
      <c r="U35" s="3">
        <v>0</v>
      </c>
      <c r="V35" s="3" t="s">
        <v>66</v>
      </c>
      <c r="W35" s="3">
        <v>0</v>
      </c>
      <c r="X35" s="3">
        <v>0</v>
      </c>
      <c r="Y35" s="3">
        <v>0</v>
      </c>
      <c r="Z35" s="3">
        <v>10</v>
      </c>
      <c r="AA35" s="3">
        <f>SUM(AB35,(AC35*0.67),(AD35*0.5))</f>
        <v>14.5</v>
      </c>
      <c r="AB35" s="3">
        <v>14.5</v>
      </c>
      <c r="AC35" s="3">
        <v>0</v>
      </c>
      <c r="AD35" s="3">
        <v>0</v>
      </c>
      <c r="AE35" s="3" t="s">
        <v>76</v>
      </c>
      <c r="AF35" s="3">
        <v>2.5</v>
      </c>
      <c r="AG35" s="3">
        <v>0</v>
      </c>
      <c r="AH35" s="3">
        <v>0</v>
      </c>
      <c r="AI35" s="3">
        <v>1</v>
      </c>
      <c r="AJ35" s="3">
        <v>0</v>
      </c>
      <c r="AK35" s="3">
        <v>0</v>
      </c>
      <c r="AL35" s="3">
        <v>0</v>
      </c>
      <c r="AM35" s="3">
        <v>0</v>
      </c>
      <c r="AN35" s="3">
        <v>1</v>
      </c>
      <c r="AO35" s="3">
        <v>0</v>
      </c>
      <c r="AP35" s="3">
        <v>0</v>
      </c>
      <c r="AQ35" s="3">
        <v>1</v>
      </c>
      <c r="AR35" s="3">
        <v>1</v>
      </c>
      <c r="AS35" s="3">
        <v>1</v>
      </c>
      <c r="AT35" s="3">
        <v>1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 t="s">
        <v>176</v>
      </c>
      <c r="BE35" s="7"/>
    </row>
    <row r="36" spans="1:57">
      <c r="A36" s="3" t="s">
        <v>62</v>
      </c>
      <c r="B36" s="1" t="s">
        <v>165</v>
      </c>
      <c r="C36" s="1" t="s">
        <v>166</v>
      </c>
      <c r="D36" s="3" t="s">
        <v>167</v>
      </c>
      <c r="E36" s="4" t="s">
        <v>168</v>
      </c>
      <c r="F36" s="1" t="s">
        <v>66</v>
      </c>
      <c r="G36" s="1" t="s">
        <v>169</v>
      </c>
      <c r="H36" s="1" t="s">
        <v>177</v>
      </c>
      <c r="I36" s="1" t="s">
        <v>171</v>
      </c>
      <c r="J36" s="1" t="s">
        <v>70</v>
      </c>
      <c r="K36" s="3">
        <v>14542</v>
      </c>
      <c r="L36" s="3">
        <v>43.134160000000001</v>
      </c>
      <c r="M36" s="3">
        <v>-76.883960000000002</v>
      </c>
      <c r="N36" s="5">
        <v>5</v>
      </c>
      <c r="O36" s="22" t="s">
        <v>178</v>
      </c>
      <c r="P36" s="3">
        <v>324</v>
      </c>
      <c r="Q36" s="3">
        <v>324</v>
      </c>
      <c r="R36" s="3" t="s">
        <v>74</v>
      </c>
      <c r="S36" s="3">
        <v>2</v>
      </c>
      <c r="T36" s="3">
        <v>0</v>
      </c>
      <c r="U36" s="3">
        <v>0</v>
      </c>
      <c r="V36" s="3" t="s">
        <v>66</v>
      </c>
      <c r="W36" s="3">
        <v>0</v>
      </c>
      <c r="X36" s="3">
        <v>0</v>
      </c>
      <c r="Y36" s="3">
        <v>0</v>
      </c>
      <c r="Z36" s="3">
        <v>10</v>
      </c>
      <c r="AA36" s="3">
        <f>SUM(AB36,(AC36*0.67),(AD36*0.5))</f>
        <v>15.5</v>
      </c>
      <c r="AB36" s="3">
        <v>15.5</v>
      </c>
      <c r="AC36" s="3">
        <v>0</v>
      </c>
      <c r="AD36" s="3">
        <v>0</v>
      </c>
      <c r="AE36" s="3" t="s">
        <v>76</v>
      </c>
      <c r="AF36" s="3">
        <v>2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1</v>
      </c>
      <c r="AS36" s="3">
        <v>0</v>
      </c>
      <c r="AT36" s="3">
        <v>0</v>
      </c>
      <c r="AU36" s="3">
        <v>0</v>
      </c>
      <c r="AV36" s="3">
        <v>1</v>
      </c>
      <c r="AW36" s="3">
        <v>0</v>
      </c>
      <c r="AX36" s="3">
        <v>0</v>
      </c>
      <c r="AY36" s="3">
        <v>0</v>
      </c>
      <c r="AZ36" s="3" t="s">
        <v>179</v>
      </c>
      <c r="BE36" s="7"/>
    </row>
    <row r="37" spans="1:57">
      <c r="A37" s="3" t="s">
        <v>62</v>
      </c>
      <c r="B37" s="1" t="s">
        <v>165</v>
      </c>
      <c r="C37" s="1" t="s">
        <v>166</v>
      </c>
      <c r="D37" s="3" t="s">
        <v>167</v>
      </c>
      <c r="E37" s="4" t="s">
        <v>168</v>
      </c>
      <c r="F37" s="1" t="s">
        <v>66</v>
      </c>
      <c r="G37" s="1" t="s">
        <v>169</v>
      </c>
      <c r="H37" s="1" t="s">
        <v>180</v>
      </c>
      <c r="I37" s="1" t="s">
        <v>171</v>
      </c>
      <c r="J37" s="1" t="s">
        <v>70</v>
      </c>
      <c r="K37" s="3">
        <v>14542</v>
      </c>
      <c r="L37" s="3">
        <v>43.134160000000001</v>
      </c>
      <c r="M37" s="3">
        <v>-76.883960000000002</v>
      </c>
      <c r="N37" s="5">
        <v>5</v>
      </c>
      <c r="O37" s="3" t="s">
        <v>181</v>
      </c>
      <c r="P37" s="3">
        <v>323</v>
      </c>
      <c r="Q37" s="3">
        <v>323</v>
      </c>
      <c r="R37" s="3" t="s">
        <v>74</v>
      </c>
      <c r="S37" s="3">
        <v>2</v>
      </c>
      <c r="T37" s="3">
        <v>0</v>
      </c>
      <c r="U37" s="3">
        <v>0</v>
      </c>
      <c r="V37" s="3" t="s">
        <v>66</v>
      </c>
      <c r="W37" s="3">
        <v>0</v>
      </c>
      <c r="X37" s="3">
        <v>0</v>
      </c>
      <c r="Y37" s="3">
        <v>0</v>
      </c>
      <c r="Z37" s="3">
        <v>10</v>
      </c>
      <c r="AA37" s="3">
        <f>SUM(AB37,(AC37*0.67),(AD37*0.5))</f>
        <v>10</v>
      </c>
      <c r="AB37" s="3">
        <v>10</v>
      </c>
      <c r="AC37" s="3">
        <v>0</v>
      </c>
      <c r="AD37" s="3">
        <v>0</v>
      </c>
      <c r="AE37" s="3" t="s">
        <v>76</v>
      </c>
      <c r="AF37" s="3">
        <v>2.5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1</v>
      </c>
      <c r="AO37" s="3">
        <v>0</v>
      </c>
      <c r="AP37" s="3">
        <v>0</v>
      </c>
      <c r="AQ37" s="3">
        <v>0</v>
      </c>
      <c r="AR37" s="3">
        <v>1</v>
      </c>
      <c r="AS37" s="3">
        <v>1</v>
      </c>
      <c r="AT37" s="3">
        <v>1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 t="s">
        <v>182</v>
      </c>
      <c r="BE37" s="7"/>
    </row>
    <row r="38" spans="1:57">
      <c r="A38" s="3" t="s">
        <v>62</v>
      </c>
      <c r="B38" s="1" t="s">
        <v>165</v>
      </c>
      <c r="C38" s="1" t="s">
        <v>166</v>
      </c>
      <c r="D38" s="3" t="s">
        <v>167</v>
      </c>
      <c r="E38" s="4" t="s">
        <v>168</v>
      </c>
      <c r="F38" s="1" t="s">
        <v>66</v>
      </c>
      <c r="G38" s="1" t="s">
        <v>169</v>
      </c>
      <c r="H38" s="1" t="s">
        <v>183</v>
      </c>
      <c r="I38" s="1" t="s">
        <v>171</v>
      </c>
      <c r="J38" s="1" t="s">
        <v>70</v>
      </c>
      <c r="K38" s="3">
        <v>14542</v>
      </c>
      <c r="L38" s="3">
        <v>43.134160000000001</v>
      </c>
      <c r="M38" s="3">
        <v>-76.883960000000002</v>
      </c>
      <c r="N38" s="5">
        <v>5</v>
      </c>
      <c r="O38" s="22" t="s">
        <v>184</v>
      </c>
      <c r="P38" s="3">
        <v>326</v>
      </c>
      <c r="Q38" s="3">
        <v>326</v>
      </c>
      <c r="R38" s="3" t="s">
        <v>74</v>
      </c>
      <c r="S38" s="3">
        <v>2</v>
      </c>
      <c r="T38" s="3">
        <v>0</v>
      </c>
      <c r="U38" s="3">
        <v>0</v>
      </c>
      <c r="V38" s="3" t="s">
        <v>66</v>
      </c>
      <c r="W38" s="3">
        <v>0</v>
      </c>
      <c r="X38" s="3">
        <v>0</v>
      </c>
      <c r="Y38" s="3">
        <v>0</v>
      </c>
      <c r="Z38" s="3">
        <v>10</v>
      </c>
      <c r="AA38" s="3">
        <f>SUM(AB38,(AC38*0.67),(AD38*0.5))</f>
        <v>14.5</v>
      </c>
      <c r="AB38" s="3">
        <v>14.5</v>
      </c>
      <c r="AC38" s="3">
        <v>0</v>
      </c>
      <c r="AD38" s="3">
        <v>0</v>
      </c>
      <c r="AE38" s="3" t="s">
        <v>76</v>
      </c>
      <c r="AF38" s="3">
        <v>2</v>
      </c>
      <c r="AG38" s="3">
        <v>1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1</v>
      </c>
      <c r="AO38" s="3">
        <v>0</v>
      </c>
      <c r="AP38" s="3">
        <v>0</v>
      </c>
      <c r="AQ38" s="3">
        <v>1</v>
      </c>
      <c r="AR38" s="3">
        <v>1</v>
      </c>
      <c r="AS38" s="3">
        <v>1</v>
      </c>
      <c r="AT38" s="3">
        <v>1</v>
      </c>
      <c r="AU38" s="3">
        <v>0</v>
      </c>
      <c r="AV38" s="3">
        <v>0</v>
      </c>
      <c r="AW38" s="3">
        <v>0</v>
      </c>
      <c r="AX38" s="3">
        <v>0</v>
      </c>
      <c r="AY38" s="3">
        <v>1</v>
      </c>
      <c r="AZ38" s="3" t="s">
        <v>185</v>
      </c>
      <c r="BE38" s="7"/>
    </row>
    <row r="39" spans="1:57">
      <c r="A39" s="3" t="s">
        <v>62</v>
      </c>
      <c r="B39" s="3" t="s">
        <v>186</v>
      </c>
      <c r="C39" s="3" t="s">
        <v>187</v>
      </c>
      <c r="D39" s="3" t="s">
        <v>188</v>
      </c>
      <c r="E39" s="4">
        <v>45908</v>
      </c>
      <c r="F39" s="3" t="s">
        <v>66</v>
      </c>
      <c r="G39" s="3" t="s">
        <v>189</v>
      </c>
      <c r="H39" s="5" t="s">
        <v>190</v>
      </c>
      <c r="I39" s="5" t="s">
        <v>191</v>
      </c>
      <c r="J39" s="5" t="s">
        <v>70</v>
      </c>
      <c r="K39" s="1">
        <v>10591</v>
      </c>
      <c r="L39" s="3" t="s">
        <v>192</v>
      </c>
      <c r="M39" s="3" t="s">
        <v>193</v>
      </c>
      <c r="N39" s="3">
        <v>10</v>
      </c>
      <c r="O39" s="3" t="s">
        <v>194</v>
      </c>
      <c r="P39" s="3">
        <v>111</v>
      </c>
      <c r="Q39" s="3">
        <v>111</v>
      </c>
      <c r="R39" s="3" t="s">
        <v>74</v>
      </c>
      <c r="S39" s="3">
        <v>2</v>
      </c>
      <c r="T39" s="3">
        <v>1</v>
      </c>
      <c r="U39" s="3">
        <v>0</v>
      </c>
      <c r="V39" s="3" t="s">
        <v>66</v>
      </c>
      <c r="W39" s="3">
        <v>0</v>
      </c>
      <c r="X39" s="3">
        <v>0</v>
      </c>
      <c r="Y39" s="3">
        <v>0</v>
      </c>
      <c r="Z39" s="3">
        <v>10</v>
      </c>
      <c r="AA39" s="17">
        <f>SUM((AB39),(AC39*(2/3)),(AD39*(1/2)))</f>
        <v>14.333333333333332</v>
      </c>
      <c r="AB39" s="3">
        <v>11</v>
      </c>
      <c r="AC39" s="3">
        <v>5</v>
      </c>
      <c r="AD39" s="3">
        <v>0</v>
      </c>
      <c r="AE39" s="3" t="s">
        <v>76</v>
      </c>
      <c r="AF39" s="3">
        <v>2.5</v>
      </c>
      <c r="AG39" s="3">
        <v>0</v>
      </c>
      <c r="AH39" s="3">
        <v>0</v>
      </c>
      <c r="AI39" s="3">
        <v>0</v>
      </c>
      <c r="AJ39" s="3">
        <v>1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 t="s">
        <v>195</v>
      </c>
      <c r="BE39" s="7"/>
    </row>
    <row r="40" spans="1:57">
      <c r="A40" s="3" t="s">
        <v>62</v>
      </c>
      <c r="B40" s="3" t="s">
        <v>186</v>
      </c>
      <c r="C40" s="3" t="s">
        <v>187</v>
      </c>
      <c r="D40" s="3" t="s">
        <v>188</v>
      </c>
      <c r="E40" s="4">
        <v>45908</v>
      </c>
      <c r="F40" s="3" t="s">
        <v>66</v>
      </c>
      <c r="G40" s="3" t="s">
        <v>189</v>
      </c>
      <c r="H40" s="5" t="s">
        <v>190</v>
      </c>
      <c r="I40" s="5" t="s">
        <v>191</v>
      </c>
      <c r="J40" s="5" t="s">
        <v>70</v>
      </c>
      <c r="K40" s="1">
        <v>10591</v>
      </c>
      <c r="L40" s="3" t="s">
        <v>192</v>
      </c>
      <c r="M40" s="3" t="s">
        <v>193</v>
      </c>
      <c r="N40" s="3">
        <v>10</v>
      </c>
      <c r="O40" s="3" t="s">
        <v>196</v>
      </c>
      <c r="P40" s="3">
        <v>112</v>
      </c>
      <c r="Q40" s="3">
        <v>112</v>
      </c>
      <c r="R40" s="3" t="s">
        <v>74</v>
      </c>
      <c r="S40" s="3">
        <v>2</v>
      </c>
      <c r="T40" s="3">
        <v>0</v>
      </c>
      <c r="U40" s="3">
        <v>0</v>
      </c>
      <c r="V40" s="3" t="s">
        <v>66</v>
      </c>
      <c r="W40" s="3">
        <v>0</v>
      </c>
      <c r="Y40" s="3">
        <v>0</v>
      </c>
      <c r="Z40" s="3">
        <v>10</v>
      </c>
      <c r="AA40" s="17">
        <f>SUM((AB40),(AC40*(2/3)),(AD40*(1/2)))</f>
        <v>16.5</v>
      </c>
      <c r="AB40" s="3">
        <v>16.5</v>
      </c>
      <c r="AC40" s="3">
        <v>0</v>
      </c>
      <c r="AD40" s="3">
        <v>0</v>
      </c>
      <c r="AE40" s="3" t="s">
        <v>76</v>
      </c>
      <c r="AF40" s="3">
        <v>3</v>
      </c>
      <c r="AG40" s="3">
        <v>0</v>
      </c>
      <c r="AH40" s="3">
        <v>0</v>
      </c>
      <c r="AI40" s="3">
        <v>0</v>
      </c>
      <c r="AJ40" s="3">
        <v>1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1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 t="s">
        <v>197</v>
      </c>
      <c r="BE40" s="7"/>
    </row>
    <row r="41" spans="1:57">
      <c r="A41" s="3" t="s">
        <v>62</v>
      </c>
      <c r="B41" s="3" t="s">
        <v>186</v>
      </c>
      <c r="C41" s="3" t="s">
        <v>187</v>
      </c>
      <c r="D41" s="3" t="s">
        <v>188</v>
      </c>
      <c r="E41" s="4">
        <v>45908</v>
      </c>
      <c r="F41" s="3" t="s">
        <v>66</v>
      </c>
      <c r="G41" s="3" t="s">
        <v>189</v>
      </c>
      <c r="H41" s="5" t="s">
        <v>190</v>
      </c>
      <c r="I41" s="5" t="s">
        <v>191</v>
      </c>
      <c r="J41" s="5" t="s">
        <v>70</v>
      </c>
      <c r="K41" s="1">
        <v>10591</v>
      </c>
      <c r="L41" s="3" t="s">
        <v>192</v>
      </c>
      <c r="M41" s="3" t="s">
        <v>193</v>
      </c>
      <c r="N41" s="3">
        <v>10</v>
      </c>
      <c r="O41" s="3" t="s">
        <v>198</v>
      </c>
      <c r="P41" s="3">
        <v>109</v>
      </c>
      <c r="Q41" s="3">
        <v>109</v>
      </c>
      <c r="R41" s="3" t="s">
        <v>74</v>
      </c>
      <c r="S41" s="3">
        <v>2</v>
      </c>
      <c r="T41" s="3">
        <v>0</v>
      </c>
      <c r="U41" s="3">
        <v>0</v>
      </c>
      <c r="V41" s="3" t="s">
        <v>66</v>
      </c>
      <c r="W41" s="3">
        <v>0</v>
      </c>
      <c r="X41" s="3">
        <v>0</v>
      </c>
      <c r="Y41" s="3">
        <v>0</v>
      </c>
      <c r="Z41" s="3">
        <v>10</v>
      </c>
      <c r="AA41" s="17">
        <f>SUM((AB41),(AC41*(2/3)),(AD41*(1/2)))</f>
        <v>17</v>
      </c>
      <c r="AB41" s="3">
        <v>17</v>
      </c>
      <c r="AC41" s="3">
        <v>0</v>
      </c>
      <c r="AD41" s="3">
        <v>0</v>
      </c>
      <c r="AE41" s="3" t="s">
        <v>76</v>
      </c>
      <c r="AF41" s="3">
        <v>3</v>
      </c>
      <c r="AG41" s="3">
        <v>0</v>
      </c>
      <c r="AH41" s="3">
        <v>0</v>
      </c>
      <c r="AI41" s="3">
        <v>0</v>
      </c>
      <c r="AJ41" s="3">
        <v>1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 t="s">
        <v>199</v>
      </c>
      <c r="BE41" s="7"/>
    </row>
    <row r="42" spans="1:57">
      <c r="A42" s="3" t="s">
        <v>62</v>
      </c>
      <c r="B42" s="3" t="s">
        <v>186</v>
      </c>
      <c r="C42" s="3" t="s">
        <v>187</v>
      </c>
      <c r="D42" s="3" t="s">
        <v>188</v>
      </c>
      <c r="E42" s="4">
        <v>45908</v>
      </c>
      <c r="F42" s="3" t="s">
        <v>66</v>
      </c>
      <c r="G42" s="3" t="s">
        <v>189</v>
      </c>
      <c r="H42" s="5" t="s">
        <v>190</v>
      </c>
      <c r="I42" s="5" t="s">
        <v>191</v>
      </c>
      <c r="J42" s="5" t="s">
        <v>70</v>
      </c>
      <c r="K42" s="1">
        <v>10591</v>
      </c>
      <c r="L42" s="3" t="s">
        <v>192</v>
      </c>
      <c r="M42" s="3" t="s">
        <v>193</v>
      </c>
      <c r="N42" s="3">
        <v>10</v>
      </c>
      <c r="O42" s="3" t="s">
        <v>200</v>
      </c>
      <c r="P42" s="3">
        <v>110</v>
      </c>
      <c r="Q42" s="3">
        <v>110</v>
      </c>
      <c r="R42" s="3" t="s">
        <v>74</v>
      </c>
      <c r="S42" s="3">
        <v>2</v>
      </c>
      <c r="T42" s="3">
        <v>0</v>
      </c>
      <c r="U42" s="3">
        <v>0</v>
      </c>
      <c r="V42" s="3" t="s">
        <v>66</v>
      </c>
      <c r="W42" s="3">
        <v>0</v>
      </c>
      <c r="X42" s="3">
        <v>0</v>
      </c>
      <c r="Y42" s="3">
        <v>0</v>
      </c>
      <c r="Z42" s="3">
        <v>10</v>
      </c>
      <c r="AA42" s="17">
        <f>SUM((AB42),(AC42*(2/3)),(AD42*(1/2)))</f>
        <v>10</v>
      </c>
      <c r="AB42" s="3">
        <v>10</v>
      </c>
      <c r="AC42" s="3">
        <v>0</v>
      </c>
      <c r="AD42" s="3">
        <v>0</v>
      </c>
      <c r="AE42" s="3" t="s">
        <v>76</v>
      </c>
      <c r="AF42" s="3">
        <v>3</v>
      </c>
      <c r="AG42" s="3">
        <v>0</v>
      </c>
      <c r="AH42" s="3">
        <v>0</v>
      </c>
      <c r="AI42" s="3">
        <v>0</v>
      </c>
      <c r="AJ42" s="3">
        <v>1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1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 t="s">
        <v>201</v>
      </c>
      <c r="BE42" s="7"/>
    </row>
    <row r="43" spans="1:57">
      <c r="A43" s="3" t="s">
        <v>62</v>
      </c>
      <c r="B43" s="3" t="s">
        <v>202</v>
      </c>
      <c r="C43" s="3" t="s">
        <v>203</v>
      </c>
      <c r="D43" s="3" t="s">
        <v>65</v>
      </c>
      <c r="E43" s="4">
        <v>45916</v>
      </c>
      <c r="F43" s="3" t="s">
        <v>66</v>
      </c>
      <c r="G43" s="3" t="s">
        <v>204</v>
      </c>
      <c r="H43" s="5" t="s">
        <v>205</v>
      </c>
      <c r="I43" s="5" t="s">
        <v>206</v>
      </c>
      <c r="J43" s="5" t="s">
        <v>70</v>
      </c>
      <c r="K43" s="1">
        <v>13081</v>
      </c>
      <c r="L43" s="3" t="s">
        <v>207</v>
      </c>
      <c r="M43" s="3" t="s">
        <v>208</v>
      </c>
      <c r="N43" s="12">
        <v>14</v>
      </c>
      <c r="O43" s="3" t="s">
        <v>209</v>
      </c>
      <c r="P43" s="3">
        <v>201</v>
      </c>
      <c r="Q43" s="25"/>
      <c r="R43" s="3" t="s">
        <v>74</v>
      </c>
      <c r="S43" s="3">
        <v>2</v>
      </c>
      <c r="T43" s="3">
        <v>0</v>
      </c>
      <c r="U43" s="3">
        <v>0</v>
      </c>
      <c r="V43" s="3" t="s">
        <v>66</v>
      </c>
      <c r="W43" s="3">
        <v>0</v>
      </c>
      <c r="X43" s="3">
        <v>0</v>
      </c>
      <c r="Y43" s="3">
        <v>0</v>
      </c>
      <c r="Z43" s="3">
        <v>10</v>
      </c>
      <c r="AA43" s="3">
        <f>SUM(AB43,(AC43*0.67),(AD43*0.5))</f>
        <v>10.5</v>
      </c>
      <c r="AB43" s="3">
        <v>10.5</v>
      </c>
      <c r="AC43" s="3">
        <v>0</v>
      </c>
      <c r="AD43" s="3">
        <v>0</v>
      </c>
      <c r="AE43" s="3" t="s">
        <v>210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1</v>
      </c>
      <c r="AW43" s="3">
        <v>0</v>
      </c>
      <c r="AX43" s="3">
        <v>0</v>
      </c>
      <c r="AY43" s="3">
        <v>0</v>
      </c>
      <c r="AZ43" s="3" t="s">
        <v>211</v>
      </c>
      <c r="BE43" s="7"/>
    </row>
    <row r="44" spans="1:57">
      <c r="A44" s="3" t="s">
        <v>62</v>
      </c>
      <c r="B44" s="3" t="s">
        <v>202</v>
      </c>
      <c r="C44" s="3" t="s">
        <v>203</v>
      </c>
      <c r="D44" s="3" t="s">
        <v>65</v>
      </c>
      <c r="E44" s="4">
        <v>45916</v>
      </c>
      <c r="F44" s="3" t="s">
        <v>66</v>
      </c>
      <c r="G44" s="3" t="s">
        <v>204</v>
      </c>
      <c r="H44" s="5" t="s">
        <v>205</v>
      </c>
      <c r="I44" s="5" t="s">
        <v>206</v>
      </c>
      <c r="J44" s="5" t="s">
        <v>70</v>
      </c>
      <c r="K44" s="1">
        <v>13081</v>
      </c>
      <c r="L44" s="3" t="s">
        <v>207</v>
      </c>
      <c r="M44" s="3" t="s">
        <v>208</v>
      </c>
      <c r="N44" s="12">
        <v>14</v>
      </c>
      <c r="O44" s="3" t="s">
        <v>212</v>
      </c>
      <c r="P44" s="3">
        <v>202</v>
      </c>
      <c r="Q44" s="25"/>
      <c r="R44" s="3" t="s">
        <v>74</v>
      </c>
      <c r="S44" s="3">
        <v>2</v>
      </c>
      <c r="T44" s="3">
        <v>0</v>
      </c>
      <c r="U44" s="3">
        <v>0</v>
      </c>
      <c r="V44" s="3" t="s">
        <v>66</v>
      </c>
      <c r="W44" s="3">
        <v>0</v>
      </c>
      <c r="X44" s="3">
        <v>0</v>
      </c>
      <c r="Y44" s="3">
        <v>0</v>
      </c>
      <c r="Z44" s="3">
        <v>10</v>
      </c>
      <c r="AA44" s="3">
        <f>SUM(AB44,(AC44*0.67),(AD44*0.5))</f>
        <v>11.5</v>
      </c>
      <c r="AB44" s="3">
        <v>11.5</v>
      </c>
      <c r="AC44" s="3">
        <v>0</v>
      </c>
      <c r="AD44" s="3">
        <v>0</v>
      </c>
      <c r="AE44" s="3" t="s">
        <v>76</v>
      </c>
      <c r="AF44" s="3">
        <v>4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1</v>
      </c>
      <c r="AW44" s="3">
        <v>0</v>
      </c>
      <c r="AX44" s="3">
        <v>0</v>
      </c>
      <c r="AY44" s="3">
        <v>0</v>
      </c>
      <c r="AZ44" s="3" t="s">
        <v>213</v>
      </c>
      <c r="BE44" s="7"/>
    </row>
    <row r="45" spans="1:57">
      <c r="A45" s="3" t="s">
        <v>62</v>
      </c>
      <c r="B45" s="3" t="s">
        <v>202</v>
      </c>
      <c r="C45" s="3" t="s">
        <v>203</v>
      </c>
      <c r="D45" s="3" t="s">
        <v>65</v>
      </c>
      <c r="E45" s="4">
        <v>45916</v>
      </c>
      <c r="F45" s="3" t="s">
        <v>66</v>
      </c>
      <c r="G45" s="3" t="s">
        <v>204</v>
      </c>
      <c r="H45" s="5" t="s">
        <v>205</v>
      </c>
      <c r="I45" s="5" t="s">
        <v>206</v>
      </c>
      <c r="J45" s="5" t="s">
        <v>70</v>
      </c>
      <c r="K45" s="1">
        <v>13081</v>
      </c>
      <c r="L45" s="3" t="s">
        <v>207</v>
      </c>
      <c r="M45" s="3" t="s">
        <v>208</v>
      </c>
      <c r="N45" s="12">
        <v>14</v>
      </c>
      <c r="O45" s="3" t="s">
        <v>214</v>
      </c>
      <c r="P45" s="3">
        <v>203</v>
      </c>
      <c r="Q45" s="25"/>
      <c r="R45" s="3" t="s">
        <v>74</v>
      </c>
      <c r="S45" s="3">
        <v>2</v>
      </c>
      <c r="T45" s="3">
        <v>0</v>
      </c>
      <c r="U45" s="3">
        <v>0</v>
      </c>
      <c r="V45" s="3" t="s">
        <v>66</v>
      </c>
      <c r="W45" s="3">
        <v>0</v>
      </c>
      <c r="X45" s="3">
        <v>0</v>
      </c>
      <c r="Y45" s="3">
        <v>0</v>
      </c>
      <c r="Z45" s="3">
        <v>10</v>
      </c>
      <c r="AA45" s="3">
        <f>SUM(AB45,(AC45*0.67),(AD45*0.5))</f>
        <v>4.5</v>
      </c>
      <c r="AB45" s="3">
        <v>4.5</v>
      </c>
      <c r="AC45" s="3">
        <v>0</v>
      </c>
      <c r="AD45" s="3">
        <v>0</v>
      </c>
      <c r="AE45" s="3" t="s">
        <v>159</v>
      </c>
      <c r="AF45" s="3">
        <v>0</v>
      </c>
      <c r="AG45" s="3">
        <v>0</v>
      </c>
      <c r="AH45" s="3">
        <v>0</v>
      </c>
      <c r="AI45" s="3">
        <v>0</v>
      </c>
      <c r="AJ45" s="3">
        <v>1</v>
      </c>
      <c r="AK45" s="3">
        <v>1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E45" s="7"/>
    </row>
    <row r="46" spans="1:57">
      <c r="A46" s="3" t="s">
        <v>62</v>
      </c>
      <c r="B46" s="3" t="s">
        <v>202</v>
      </c>
      <c r="C46" s="3" t="s">
        <v>203</v>
      </c>
      <c r="D46" s="3" t="s">
        <v>65</v>
      </c>
      <c r="E46" s="4">
        <v>45916</v>
      </c>
      <c r="F46" s="3" t="s">
        <v>66</v>
      </c>
      <c r="G46" s="3" t="s">
        <v>204</v>
      </c>
      <c r="H46" s="5" t="s">
        <v>205</v>
      </c>
      <c r="I46" s="5" t="s">
        <v>206</v>
      </c>
      <c r="J46" s="5" t="s">
        <v>70</v>
      </c>
      <c r="K46" s="1">
        <v>13081</v>
      </c>
      <c r="L46" s="3" t="s">
        <v>207</v>
      </c>
      <c r="M46" s="3" t="s">
        <v>208</v>
      </c>
      <c r="N46" s="12">
        <v>14</v>
      </c>
      <c r="O46" s="3" t="s">
        <v>215</v>
      </c>
      <c r="P46" s="3">
        <v>204</v>
      </c>
      <c r="Q46" s="25"/>
      <c r="R46" s="3" t="s">
        <v>74</v>
      </c>
      <c r="S46" s="3">
        <v>2</v>
      </c>
      <c r="T46" s="3">
        <v>0</v>
      </c>
      <c r="U46" s="3">
        <v>0</v>
      </c>
      <c r="V46" s="3" t="s">
        <v>66</v>
      </c>
      <c r="W46" s="3">
        <v>0</v>
      </c>
      <c r="X46" s="3">
        <v>0</v>
      </c>
      <c r="Y46" s="3">
        <v>0</v>
      </c>
      <c r="Z46" s="3">
        <v>10</v>
      </c>
      <c r="AA46" s="3">
        <f>SUM(AB46,(AC46*0.67),(AD46*0.5))</f>
        <v>12</v>
      </c>
      <c r="AB46" s="3">
        <v>12</v>
      </c>
      <c r="AC46" s="3">
        <v>0</v>
      </c>
      <c r="AD46" s="3">
        <v>0</v>
      </c>
      <c r="AE46" s="3" t="s">
        <v>76</v>
      </c>
      <c r="AF46" s="3">
        <v>4.5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1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 t="s">
        <v>216</v>
      </c>
      <c r="BE46" s="7"/>
    </row>
    <row r="47" spans="1:57" ht="21">
      <c r="A47" s="3" t="s">
        <v>62</v>
      </c>
      <c r="B47" s="3" t="s">
        <v>217</v>
      </c>
      <c r="C47" s="3" t="s">
        <v>218</v>
      </c>
      <c r="D47" s="3" t="s">
        <v>65</v>
      </c>
      <c r="E47" s="4">
        <v>45917</v>
      </c>
      <c r="F47" s="3" t="s">
        <v>219</v>
      </c>
      <c r="G47" s="3" t="s">
        <v>220</v>
      </c>
      <c r="H47" s="18" t="s">
        <v>221</v>
      </c>
      <c r="I47" s="18" t="s">
        <v>222</v>
      </c>
      <c r="J47" s="18" t="s">
        <v>70</v>
      </c>
      <c r="K47" s="14">
        <v>13750</v>
      </c>
      <c r="L47" s="3" t="s">
        <v>223</v>
      </c>
      <c r="M47" s="3" t="s">
        <v>224</v>
      </c>
      <c r="N47" s="3">
        <v>35</v>
      </c>
      <c r="O47" s="3" t="s">
        <v>225</v>
      </c>
      <c r="P47" s="3">
        <v>101</v>
      </c>
      <c r="Q47" s="3">
        <v>101</v>
      </c>
      <c r="R47" s="3" t="s">
        <v>74</v>
      </c>
      <c r="S47" s="3">
        <v>2</v>
      </c>
      <c r="T47" s="3">
        <v>2</v>
      </c>
      <c r="U47" s="3">
        <v>0</v>
      </c>
      <c r="V47" s="3" t="s">
        <v>66</v>
      </c>
      <c r="W47" s="3">
        <v>0</v>
      </c>
      <c r="Y47" s="3">
        <v>0</v>
      </c>
      <c r="Z47" s="3">
        <v>10</v>
      </c>
      <c r="AA47" s="3">
        <f>SUM(AB47,(AC47*0.67),(AD47*0.5))</f>
        <v>24.875</v>
      </c>
      <c r="AB47" s="3">
        <v>16.5</v>
      </c>
      <c r="AC47" s="3">
        <v>12.5</v>
      </c>
      <c r="AD47" s="3">
        <v>0</v>
      </c>
      <c r="AE47" s="3" t="s">
        <v>76</v>
      </c>
      <c r="AF47" s="3">
        <v>4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1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 t="s">
        <v>226</v>
      </c>
      <c r="BE47" s="7"/>
    </row>
    <row r="48" spans="1:57" ht="21">
      <c r="A48" s="3" t="s">
        <v>62</v>
      </c>
      <c r="B48" s="3" t="s">
        <v>217</v>
      </c>
      <c r="C48" s="3" t="s">
        <v>218</v>
      </c>
      <c r="D48" s="3" t="s">
        <v>65</v>
      </c>
      <c r="E48" s="4">
        <v>45917</v>
      </c>
      <c r="F48" s="3" t="s">
        <v>219</v>
      </c>
      <c r="G48" s="3" t="s">
        <v>220</v>
      </c>
      <c r="H48" s="18" t="s">
        <v>221</v>
      </c>
      <c r="I48" s="18" t="s">
        <v>222</v>
      </c>
      <c r="J48" s="18" t="s">
        <v>70</v>
      </c>
      <c r="K48" s="14">
        <v>13750</v>
      </c>
      <c r="L48" s="3" t="s">
        <v>223</v>
      </c>
      <c r="M48" s="3" t="s">
        <v>224</v>
      </c>
      <c r="N48" s="3">
        <v>18</v>
      </c>
      <c r="O48" s="3" t="s">
        <v>227</v>
      </c>
      <c r="P48" s="3">
        <v>102</v>
      </c>
      <c r="Q48" s="3">
        <v>102</v>
      </c>
      <c r="R48" s="3" t="s">
        <v>74</v>
      </c>
      <c r="S48" s="3">
        <v>2</v>
      </c>
      <c r="T48" s="3">
        <v>2</v>
      </c>
      <c r="U48" s="3">
        <v>0</v>
      </c>
      <c r="V48" s="3" t="s">
        <v>66</v>
      </c>
      <c r="W48" s="3">
        <v>0</v>
      </c>
      <c r="X48" s="3">
        <v>0</v>
      </c>
      <c r="Y48" s="3">
        <v>0</v>
      </c>
      <c r="Z48" s="3">
        <v>10</v>
      </c>
      <c r="AA48" s="3">
        <f>SUM(AB48,(AC48*0.67),(AD48*0.5))</f>
        <v>15.18</v>
      </c>
      <c r="AB48" s="3">
        <v>12.5</v>
      </c>
      <c r="AC48" s="3">
        <v>4</v>
      </c>
      <c r="AD48" s="3">
        <v>0</v>
      </c>
      <c r="AE48" s="3" t="s">
        <v>228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 t="s">
        <v>229</v>
      </c>
      <c r="BE48" s="7"/>
    </row>
    <row r="49" spans="1:57" ht="21">
      <c r="A49" s="3" t="s">
        <v>62</v>
      </c>
      <c r="B49" s="3" t="s">
        <v>217</v>
      </c>
      <c r="C49" s="3" t="s">
        <v>218</v>
      </c>
      <c r="D49" s="3" t="s">
        <v>65</v>
      </c>
      <c r="E49" s="4">
        <v>45917</v>
      </c>
      <c r="F49" s="3" t="s">
        <v>219</v>
      </c>
      <c r="G49" s="3" t="s">
        <v>220</v>
      </c>
      <c r="H49" s="18" t="s">
        <v>221</v>
      </c>
      <c r="I49" s="18" t="s">
        <v>222</v>
      </c>
      <c r="J49" s="18" t="s">
        <v>70</v>
      </c>
      <c r="K49" s="14">
        <v>13750</v>
      </c>
      <c r="L49" s="3" t="s">
        <v>223</v>
      </c>
      <c r="M49" s="3" t="s">
        <v>224</v>
      </c>
      <c r="N49" s="3">
        <v>18</v>
      </c>
      <c r="O49" s="3" t="s">
        <v>230</v>
      </c>
      <c r="P49" s="3">
        <v>104</v>
      </c>
      <c r="Q49" s="3">
        <v>104</v>
      </c>
      <c r="R49" s="3" t="s">
        <v>74</v>
      </c>
      <c r="S49" s="3">
        <v>3</v>
      </c>
      <c r="T49" s="3">
        <v>1</v>
      </c>
      <c r="U49" s="3">
        <v>0</v>
      </c>
      <c r="V49" s="3" t="s">
        <v>66</v>
      </c>
      <c r="W49" s="3">
        <v>0</v>
      </c>
      <c r="X49" s="3">
        <v>0</v>
      </c>
      <c r="Y49" s="3">
        <v>0</v>
      </c>
      <c r="Z49" s="3">
        <v>10</v>
      </c>
      <c r="AA49" s="3">
        <f>SUM(AB49,(AC49*0.67),(AD49*0.5))</f>
        <v>20.170000000000002</v>
      </c>
      <c r="AB49" s="3">
        <v>19.5</v>
      </c>
      <c r="AC49" s="3">
        <v>1</v>
      </c>
      <c r="AD49" s="3">
        <v>0</v>
      </c>
      <c r="AE49" s="3" t="s">
        <v>228</v>
      </c>
      <c r="AF49" s="3">
        <v>3.5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 t="s">
        <v>231</v>
      </c>
      <c r="BE49" s="7"/>
    </row>
    <row r="50" spans="1:57" ht="21">
      <c r="A50" s="3" t="s">
        <v>62</v>
      </c>
      <c r="B50" s="3" t="s">
        <v>217</v>
      </c>
      <c r="C50" s="3" t="s">
        <v>218</v>
      </c>
      <c r="D50" s="3" t="s">
        <v>65</v>
      </c>
      <c r="E50" s="4">
        <v>45917</v>
      </c>
      <c r="F50" s="3" t="s">
        <v>219</v>
      </c>
      <c r="G50" s="3" t="s">
        <v>220</v>
      </c>
      <c r="H50" s="18" t="s">
        <v>221</v>
      </c>
      <c r="I50" s="18" t="s">
        <v>222</v>
      </c>
      <c r="J50" s="18" t="s">
        <v>70</v>
      </c>
      <c r="K50" s="14">
        <v>13750</v>
      </c>
      <c r="L50" s="3" t="s">
        <v>223</v>
      </c>
      <c r="M50" s="3" t="s">
        <v>224</v>
      </c>
      <c r="N50" s="3">
        <v>18</v>
      </c>
      <c r="O50" s="3" t="s">
        <v>232</v>
      </c>
      <c r="P50" s="3">
        <v>103</v>
      </c>
      <c r="Q50" s="3">
        <v>103</v>
      </c>
      <c r="R50" s="3" t="s">
        <v>74</v>
      </c>
      <c r="S50" s="3">
        <v>2</v>
      </c>
      <c r="T50" s="3">
        <v>2</v>
      </c>
      <c r="U50" s="3">
        <v>0</v>
      </c>
      <c r="V50" s="3" t="s">
        <v>66</v>
      </c>
      <c r="W50" s="3">
        <v>0</v>
      </c>
      <c r="X50" s="3">
        <v>0</v>
      </c>
      <c r="Y50" s="3">
        <v>0</v>
      </c>
      <c r="Z50" s="3">
        <v>10</v>
      </c>
      <c r="AA50" s="3">
        <f>SUM(AB50,(AC50*0.67),(AD50*0.5))</f>
        <v>7.67</v>
      </c>
      <c r="AB50" s="3">
        <v>7</v>
      </c>
      <c r="AC50" s="3">
        <v>1</v>
      </c>
      <c r="AD50" s="3">
        <v>0</v>
      </c>
      <c r="AE50" s="3" t="s">
        <v>228</v>
      </c>
      <c r="AF50" s="3">
        <v>4</v>
      </c>
      <c r="AG50" s="3">
        <v>0</v>
      </c>
      <c r="AH50" s="3">
        <v>0</v>
      </c>
      <c r="AI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1</v>
      </c>
      <c r="AW50" s="3">
        <v>0</v>
      </c>
      <c r="AX50" s="3">
        <v>0</v>
      </c>
      <c r="AY50" s="3">
        <v>0</v>
      </c>
      <c r="AZ50" s="3" t="s">
        <v>233</v>
      </c>
      <c r="BE50" s="7"/>
    </row>
    <row r="51" spans="1:57">
      <c r="A51" s="3" t="s">
        <v>62</v>
      </c>
      <c r="B51" s="3" t="s">
        <v>234</v>
      </c>
      <c r="C51" s="3" t="s">
        <v>235</v>
      </c>
      <c r="D51" s="3" t="s">
        <v>167</v>
      </c>
      <c r="E51" s="4">
        <v>45915</v>
      </c>
      <c r="F51" s="3" t="s">
        <v>75</v>
      </c>
      <c r="G51" s="3" t="s">
        <v>236</v>
      </c>
      <c r="H51" s="5" t="s">
        <v>237</v>
      </c>
      <c r="I51" s="5" t="s">
        <v>238</v>
      </c>
      <c r="J51" s="5" t="s">
        <v>70</v>
      </c>
      <c r="K51" s="1">
        <v>13815</v>
      </c>
      <c r="L51" s="3" t="s">
        <v>239</v>
      </c>
      <c r="M51" s="3" t="s">
        <v>240</v>
      </c>
      <c r="N51" s="3">
        <v>20</v>
      </c>
      <c r="O51" s="3" t="s">
        <v>241</v>
      </c>
      <c r="P51" s="3">
        <v>308</v>
      </c>
      <c r="Q51" s="3">
        <v>308</v>
      </c>
      <c r="R51" s="3" t="s">
        <v>74</v>
      </c>
      <c r="S51" s="3">
        <v>1</v>
      </c>
      <c r="T51" s="3">
        <v>2</v>
      </c>
      <c r="U51" s="3">
        <v>0</v>
      </c>
      <c r="V51" s="3" t="s">
        <v>66</v>
      </c>
      <c r="W51" s="3">
        <v>0</v>
      </c>
      <c r="X51" s="3">
        <v>0</v>
      </c>
      <c r="Y51" s="3">
        <v>0</v>
      </c>
      <c r="Z51" s="3">
        <v>10</v>
      </c>
      <c r="AA51" s="12">
        <f>SUM(AB51,(AC51*0.67),(AD51*0.5))</f>
        <v>5.68</v>
      </c>
      <c r="AB51" s="12">
        <v>3</v>
      </c>
      <c r="AC51" s="12">
        <v>4</v>
      </c>
      <c r="AD51" s="12">
        <v>0</v>
      </c>
      <c r="AE51" s="3" t="s">
        <v>228</v>
      </c>
      <c r="AF51" s="3">
        <v>1.5</v>
      </c>
      <c r="AG51" s="3">
        <v>1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1</v>
      </c>
      <c r="AO51" s="3">
        <v>0</v>
      </c>
      <c r="AP51" s="3">
        <v>0</v>
      </c>
      <c r="AQ51" s="3">
        <v>1</v>
      </c>
      <c r="AR51" s="3">
        <v>1</v>
      </c>
      <c r="AS51" s="3">
        <v>1</v>
      </c>
      <c r="AT51" s="3">
        <v>1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 t="s">
        <v>242</v>
      </c>
      <c r="BE51" s="7"/>
    </row>
    <row r="52" spans="1:57">
      <c r="A52" s="3" t="s">
        <v>62</v>
      </c>
      <c r="B52" s="3" t="s">
        <v>234</v>
      </c>
      <c r="C52" s="3" t="s">
        <v>235</v>
      </c>
      <c r="D52" s="3" t="s">
        <v>167</v>
      </c>
      <c r="E52" s="4">
        <v>45915</v>
      </c>
      <c r="F52" s="3" t="s">
        <v>75</v>
      </c>
      <c r="G52" s="3" t="s">
        <v>236</v>
      </c>
      <c r="H52" s="5" t="s">
        <v>237</v>
      </c>
      <c r="I52" s="5" t="s">
        <v>238</v>
      </c>
      <c r="J52" s="5" t="s">
        <v>70</v>
      </c>
      <c r="K52" s="1">
        <v>13815</v>
      </c>
      <c r="L52" s="3" t="s">
        <v>239</v>
      </c>
      <c r="M52" s="3" t="s">
        <v>240</v>
      </c>
      <c r="N52" s="3">
        <v>20</v>
      </c>
      <c r="O52" s="3" t="s">
        <v>243</v>
      </c>
      <c r="P52" s="3">
        <v>306</v>
      </c>
      <c r="Q52" s="3">
        <v>306</v>
      </c>
      <c r="R52" s="3" t="s">
        <v>74</v>
      </c>
      <c r="S52" s="3">
        <v>2</v>
      </c>
      <c r="T52" s="3">
        <v>2</v>
      </c>
      <c r="U52" s="3">
        <v>0</v>
      </c>
      <c r="V52" s="3" t="s">
        <v>66</v>
      </c>
      <c r="W52" s="3">
        <v>0</v>
      </c>
      <c r="X52" s="3">
        <v>0</v>
      </c>
      <c r="Y52" s="3">
        <v>0</v>
      </c>
      <c r="Z52" s="3">
        <v>10</v>
      </c>
      <c r="AA52" s="12">
        <f>SUM(AB52,(AC52*0.67),(AD52*0.5))</f>
        <v>16.71</v>
      </c>
      <c r="AB52" s="12">
        <v>8</v>
      </c>
      <c r="AC52" s="12">
        <v>13</v>
      </c>
      <c r="AD52" s="12">
        <v>0</v>
      </c>
      <c r="AE52" s="3" t="s">
        <v>76</v>
      </c>
      <c r="AF52" s="3">
        <v>2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1</v>
      </c>
      <c r="AO52" s="3">
        <v>0</v>
      </c>
      <c r="AP52" s="3">
        <v>0</v>
      </c>
      <c r="AQ52" s="3">
        <v>0</v>
      </c>
      <c r="AR52" s="3">
        <v>1</v>
      </c>
      <c r="AS52" s="3">
        <v>1</v>
      </c>
      <c r="AT52" s="3">
        <v>1</v>
      </c>
      <c r="AU52" s="3">
        <v>0</v>
      </c>
      <c r="AV52" s="3">
        <v>0</v>
      </c>
      <c r="AW52" s="3">
        <v>0</v>
      </c>
      <c r="AX52" s="3">
        <v>0</v>
      </c>
      <c r="AY52" s="3">
        <v>1</v>
      </c>
      <c r="BE52" s="7"/>
    </row>
    <row r="53" spans="1:57">
      <c r="A53" s="3" t="s">
        <v>62</v>
      </c>
      <c r="B53" s="3" t="s">
        <v>234</v>
      </c>
      <c r="C53" s="3" t="s">
        <v>235</v>
      </c>
      <c r="D53" s="3" t="s">
        <v>167</v>
      </c>
      <c r="E53" s="4">
        <v>45915</v>
      </c>
      <c r="F53" s="3" t="s">
        <v>75</v>
      </c>
      <c r="G53" s="3" t="s">
        <v>236</v>
      </c>
      <c r="H53" s="5" t="s">
        <v>237</v>
      </c>
      <c r="I53" s="5" t="s">
        <v>238</v>
      </c>
      <c r="J53" s="5" t="s">
        <v>70</v>
      </c>
      <c r="K53" s="1">
        <v>13815</v>
      </c>
      <c r="L53" s="3" t="s">
        <v>239</v>
      </c>
      <c r="M53" s="3" t="s">
        <v>240</v>
      </c>
      <c r="N53" s="3">
        <v>20</v>
      </c>
      <c r="O53" s="3" t="s">
        <v>244</v>
      </c>
      <c r="P53" s="3">
        <v>303</v>
      </c>
      <c r="Q53" s="3">
        <v>303</v>
      </c>
      <c r="R53" s="3" t="s">
        <v>74</v>
      </c>
      <c r="S53" s="3">
        <v>1</v>
      </c>
      <c r="T53" s="3">
        <v>2</v>
      </c>
      <c r="U53" s="3">
        <v>0</v>
      </c>
      <c r="V53" s="3" t="s">
        <v>66</v>
      </c>
      <c r="W53" s="3">
        <v>0</v>
      </c>
      <c r="X53" s="3">
        <v>0</v>
      </c>
      <c r="Y53" s="3">
        <v>0</v>
      </c>
      <c r="Z53" s="3">
        <v>10</v>
      </c>
      <c r="AA53" s="12">
        <f>SUM(AB53,(AC53*0.67),(AD53*0.5))</f>
        <v>9.36</v>
      </c>
      <c r="AB53" s="12">
        <v>4</v>
      </c>
      <c r="AC53" s="12">
        <v>8</v>
      </c>
      <c r="AD53" s="12">
        <v>0</v>
      </c>
      <c r="AE53" s="3" t="s">
        <v>210</v>
      </c>
      <c r="AF53" s="3">
        <v>1</v>
      </c>
      <c r="AG53" s="3">
        <v>0</v>
      </c>
      <c r="AH53" s="3">
        <v>0</v>
      </c>
      <c r="AI53" s="3">
        <v>0</v>
      </c>
      <c r="AJ53" s="3">
        <v>1</v>
      </c>
      <c r="AK53" s="3">
        <v>0</v>
      </c>
      <c r="AL53" s="3">
        <v>0</v>
      </c>
      <c r="AM53" s="3">
        <v>1</v>
      </c>
      <c r="AN53" s="3">
        <v>1</v>
      </c>
      <c r="AO53" s="3">
        <v>0</v>
      </c>
      <c r="AP53" s="3">
        <v>1</v>
      </c>
      <c r="AQ53" s="3">
        <v>1</v>
      </c>
      <c r="AR53" s="3">
        <v>1</v>
      </c>
      <c r="AS53" s="3">
        <v>1</v>
      </c>
      <c r="AT53" s="3">
        <v>1</v>
      </c>
      <c r="AU53" s="3">
        <v>0</v>
      </c>
      <c r="AV53" s="3">
        <v>1</v>
      </c>
      <c r="AW53" s="3">
        <v>0</v>
      </c>
      <c r="AX53" s="3">
        <v>1</v>
      </c>
      <c r="AY53" s="3">
        <v>1</v>
      </c>
      <c r="AZ53" s="3" t="s">
        <v>245</v>
      </c>
      <c r="BE53" s="7"/>
    </row>
    <row r="54" spans="1:57">
      <c r="A54" s="3" t="s">
        <v>62</v>
      </c>
      <c r="B54" s="3" t="s">
        <v>234</v>
      </c>
      <c r="C54" s="3" t="s">
        <v>235</v>
      </c>
      <c r="D54" s="3" t="s">
        <v>167</v>
      </c>
      <c r="E54" s="4">
        <v>45915</v>
      </c>
      <c r="F54" s="3" t="s">
        <v>75</v>
      </c>
      <c r="G54" s="3" t="s">
        <v>236</v>
      </c>
      <c r="H54" s="5" t="s">
        <v>237</v>
      </c>
      <c r="I54" s="5" t="s">
        <v>238</v>
      </c>
      <c r="J54" s="5" t="s">
        <v>70</v>
      </c>
      <c r="K54" s="1">
        <v>13815</v>
      </c>
      <c r="L54" s="3" t="s">
        <v>239</v>
      </c>
      <c r="M54" s="3" t="s">
        <v>240</v>
      </c>
      <c r="N54" s="3">
        <v>20</v>
      </c>
      <c r="O54" s="3" t="s">
        <v>246</v>
      </c>
      <c r="P54" s="3">
        <v>307</v>
      </c>
      <c r="Q54" s="3">
        <v>307</v>
      </c>
      <c r="R54" s="3" t="s">
        <v>74</v>
      </c>
      <c r="S54" s="3">
        <v>1</v>
      </c>
      <c r="T54" s="3">
        <v>2</v>
      </c>
      <c r="U54" s="3">
        <v>0</v>
      </c>
      <c r="V54" s="3" t="s">
        <v>66</v>
      </c>
      <c r="W54" s="3">
        <v>0</v>
      </c>
      <c r="X54" s="3">
        <v>0</v>
      </c>
      <c r="Y54" s="3">
        <v>0</v>
      </c>
      <c r="Z54" s="3">
        <v>10</v>
      </c>
      <c r="AA54" s="12">
        <f>SUM(AB54,(AC54*0.67),(AD54*0.5))</f>
        <v>17.22</v>
      </c>
      <c r="AB54" s="12">
        <v>6.5</v>
      </c>
      <c r="AC54" s="12">
        <v>16</v>
      </c>
      <c r="AD54" s="12">
        <v>0</v>
      </c>
      <c r="AE54" s="3" t="s">
        <v>76</v>
      </c>
      <c r="AF54" s="3">
        <v>3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1</v>
      </c>
      <c r="AR54" s="3">
        <v>0</v>
      </c>
      <c r="AS54" s="3">
        <v>0</v>
      </c>
      <c r="AT54" s="3">
        <v>1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 t="s">
        <v>247</v>
      </c>
      <c r="BE54" s="7"/>
    </row>
    <row r="55" spans="1:57">
      <c r="A55" s="3" t="s">
        <v>62</v>
      </c>
      <c r="B55" s="3" t="s">
        <v>234</v>
      </c>
      <c r="C55" s="3" t="s">
        <v>235</v>
      </c>
      <c r="D55" s="3" t="s">
        <v>167</v>
      </c>
      <c r="E55" s="4">
        <v>45915</v>
      </c>
      <c r="F55" s="3" t="s">
        <v>75</v>
      </c>
      <c r="G55" s="3" t="s">
        <v>236</v>
      </c>
      <c r="H55" s="5" t="s">
        <v>237</v>
      </c>
      <c r="I55" s="5" t="s">
        <v>238</v>
      </c>
      <c r="J55" s="5" t="s">
        <v>70</v>
      </c>
      <c r="K55" s="1">
        <v>13815</v>
      </c>
      <c r="L55" s="3" t="s">
        <v>239</v>
      </c>
      <c r="M55" s="3" t="s">
        <v>240</v>
      </c>
      <c r="N55" s="3">
        <v>20</v>
      </c>
      <c r="O55" s="3" t="s">
        <v>248</v>
      </c>
      <c r="P55" s="3">
        <v>309</v>
      </c>
      <c r="Q55" s="3">
        <v>309</v>
      </c>
      <c r="R55" s="3" t="s">
        <v>74</v>
      </c>
      <c r="S55" s="3">
        <v>1</v>
      </c>
      <c r="T55" s="3">
        <v>2</v>
      </c>
      <c r="U55" s="3">
        <v>2</v>
      </c>
      <c r="V55" s="3" t="s">
        <v>66</v>
      </c>
      <c r="W55" s="3">
        <v>0</v>
      </c>
      <c r="X55" s="3">
        <v>0</v>
      </c>
      <c r="Y55" s="3">
        <v>0</v>
      </c>
      <c r="Z55" s="3">
        <v>10</v>
      </c>
      <c r="AA55" s="3">
        <f>SUM(AB55,(AC55*0.67),(AD55*0.5))</f>
        <v>16.46</v>
      </c>
      <c r="AB55" s="3">
        <v>7</v>
      </c>
      <c r="AC55" s="3">
        <v>13</v>
      </c>
      <c r="AD55" s="3">
        <v>1.5</v>
      </c>
      <c r="AE55" s="3" t="s">
        <v>159</v>
      </c>
      <c r="AF55" s="3">
        <v>2.5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1</v>
      </c>
      <c r="AS55" s="3">
        <v>1</v>
      </c>
      <c r="AT55" s="3">
        <v>1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 t="s">
        <v>249</v>
      </c>
      <c r="BE55" s="7"/>
    </row>
    <row r="56" spans="1:57">
      <c r="A56" s="3" t="s">
        <v>62</v>
      </c>
      <c r="B56" s="3" t="s">
        <v>234</v>
      </c>
      <c r="C56" s="3" t="s">
        <v>235</v>
      </c>
      <c r="D56" s="3" t="s">
        <v>167</v>
      </c>
      <c r="E56" s="4">
        <v>45915</v>
      </c>
      <c r="F56" s="3" t="s">
        <v>75</v>
      </c>
      <c r="G56" s="3" t="s">
        <v>236</v>
      </c>
      <c r="H56" s="5" t="s">
        <v>237</v>
      </c>
      <c r="I56" s="5" t="s">
        <v>238</v>
      </c>
      <c r="J56" s="5" t="s">
        <v>70</v>
      </c>
      <c r="K56" s="1">
        <v>13815</v>
      </c>
      <c r="L56" s="3" t="s">
        <v>239</v>
      </c>
      <c r="M56" s="3" t="s">
        <v>240</v>
      </c>
      <c r="N56" s="3">
        <v>20</v>
      </c>
      <c r="O56" s="22" t="s">
        <v>250</v>
      </c>
      <c r="P56" s="3">
        <v>310</v>
      </c>
      <c r="Q56" s="3">
        <v>310</v>
      </c>
      <c r="R56" s="3" t="s">
        <v>74</v>
      </c>
      <c r="S56" s="3">
        <v>1</v>
      </c>
      <c r="T56" s="3">
        <v>1</v>
      </c>
      <c r="U56" s="3">
        <v>0</v>
      </c>
      <c r="V56" s="3" t="s">
        <v>66</v>
      </c>
      <c r="W56" s="3">
        <v>0</v>
      </c>
      <c r="X56" s="3">
        <v>0</v>
      </c>
      <c r="Y56" s="3">
        <v>0</v>
      </c>
      <c r="Z56" s="3">
        <v>10</v>
      </c>
      <c r="AA56" s="3">
        <f>SUM(AB56,(AC56*0.67),(AD56*0.5))</f>
        <v>6.5200000000000005</v>
      </c>
      <c r="AB56" s="3">
        <v>2.5</v>
      </c>
      <c r="AC56" s="3">
        <v>6</v>
      </c>
      <c r="AD56" s="3">
        <v>0</v>
      </c>
      <c r="AE56" s="3" t="s">
        <v>251</v>
      </c>
      <c r="AF56" s="3">
        <v>1</v>
      </c>
      <c r="AG56" s="3">
        <v>0</v>
      </c>
      <c r="AH56" s="3">
        <v>1</v>
      </c>
      <c r="AI56" s="3">
        <v>0</v>
      </c>
      <c r="AJ56" s="3">
        <v>1</v>
      </c>
      <c r="AK56" s="3">
        <v>0</v>
      </c>
      <c r="AL56" s="3">
        <v>0</v>
      </c>
      <c r="AM56" s="3">
        <v>0</v>
      </c>
      <c r="AN56" s="3">
        <v>1</v>
      </c>
      <c r="AO56" s="3">
        <v>0</v>
      </c>
      <c r="AP56" s="3">
        <v>1</v>
      </c>
      <c r="AQ56" s="3">
        <v>0</v>
      </c>
      <c r="AR56" s="3">
        <v>1</v>
      </c>
      <c r="AS56" s="3">
        <v>1</v>
      </c>
      <c r="AT56" s="3">
        <v>0</v>
      </c>
      <c r="AU56" s="3">
        <v>0</v>
      </c>
      <c r="AV56" s="3">
        <v>1</v>
      </c>
      <c r="AW56" s="3">
        <v>0</v>
      </c>
      <c r="AX56" s="3">
        <v>1</v>
      </c>
      <c r="AY56" s="3">
        <v>1</v>
      </c>
      <c r="BE56" s="7"/>
    </row>
    <row r="57" spans="1:57">
      <c r="A57" s="3" t="s">
        <v>62</v>
      </c>
      <c r="B57" s="3" t="s">
        <v>234</v>
      </c>
      <c r="C57" s="3" t="s">
        <v>235</v>
      </c>
      <c r="D57" s="3" t="s">
        <v>167</v>
      </c>
      <c r="E57" s="4">
        <v>45915</v>
      </c>
      <c r="F57" s="3" t="s">
        <v>75</v>
      </c>
      <c r="G57" s="3" t="s">
        <v>236</v>
      </c>
      <c r="H57" s="5" t="s">
        <v>237</v>
      </c>
      <c r="I57" s="5" t="s">
        <v>238</v>
      </c>
      <c r="J57" s="5" t="s">
        <v>70</v>
      </c>
      <c r="K57" s="1">
        <v>13815</v>
      </c>
      <c r="L57" s="3" t="s">
        <v>239</v>
      </c>
      <c r="M57" s="3" t="s">
        <v>240</v>
      </c>
      <c r="N57" s="3">
        <v>20</v>
      </c>
      <c r="O57" s="3" t="s">
        <v>252</v>
      </c>
      <c r="P57" s="3">
        <v>304</v>
      </c>
      <c r="Q57" s="3">
        <v>304</v>
      </c>
      <c r="R57" s="3" t="s">
        <v>74</v>
      </c>
      <c r="S57" s="3">
        <v>1</v>
      </c>
      <c r="T57" s="3">
        <v>2</v>
      </c>
      <c r="U57" s="3">
        <v>0</v>
      </c>
      <c r="V57" s="3" t="s">
        <v>66</v>
      </c>
      <c r="W57" s="3">
        <v>0</v>
      </c>
      <c r="X57" s="3">
        <v>0</v>
      </c>
      <c r="Y57" s="3">
        <v>0</v>
      </c>
      <c r="Z57" s="3">
        <v>10</v>
      </c>
      <c r="AA57" s="3">
        <f>SUM(AB57,(AC57*0.67),(AD57*0.5))</f>
        <v>10.025</v>
      </c>
      <c r="AB57" s="3">
        <v>5</v>
      </c>
      <c r="AC57" s="3">
        <v>7.5</v>
      </c>
      <c r="AD57" s="3">
        <v>0</v>
      </c>
      <c r="AE57" s="3" t="s">
        <v>76</v>
      </c>
      <c r="AF57" s="3">
        <v>2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1</v>
      </c>
      <c r="AO57" s="3">
        <v>0</v>
      </c>
      <c r="AP57" s="3">
        <v>0</v>
      </c>
      <c r="AQ57" s="3">
        <v>1</v>
      </c>
      <c r="AR57" s="3">
        <v>1</v>
      </c>
      <c r="AS57" s="3">
        <v>1</v>
      </c>
      <c r="AT57" s="3">
        <v>1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 t="s">
        <v>164</v>
      </c>
      <c r="BE57" s="7"/>
    </row>
    <row r="58" spans="1:57">
      <c r="A58" s="3" t="s">
        <v>62</v>
      </c>
      <c r="B58" s="3" t="s">
        <v>234</v>
      </c>
      <c r="C58" s="3" t="s">
        <v>235</v>
      </c>
      <c r="D58" s="3" t="s">
        <v>167</v>
      </c>
      <c r="E58" s="4">
        <v>45915</v>
      </c>
      <c r="F58" s="3" t="s">
        <v>75</v>
      </c>
      <c r="G58" s="3" t="s">
        <v>236</v>
      </c>
      <c r="H58" s="5" t="s">
        <v>237</v>
      </c>
      <c r="I58" s="5" t="s">
        <v>238</v>
      </c>
      <c r="J58" s="5" t="s">
        <v>70</v>
      </c>
      <c r="K58" s="1">
        <v>13815</v>
      </c>
      <c r="L58" s="3" t="s">
        <v>239</v>
      </c>
      <c r="M58" s="3" t="s">
        <v>240</v>
      </c>
      <c r="N58" s="3">
        <v>20</v>
      </c>
      <c r="O58" s="3" t="s">
        <v>253</v>
      </c>
      <c r="P58" s="3">
        <v>305</v>
      </c>
      <c r="Q58" s="3">
        <v>305</v>
      </c>
      <c r="R58" s="3" t="s">
        <v>74</v>
      </c>
      <c r="S58" s="3">
        <v>1</v>
      </c>
      <c r="T58" s="3">
        <v>1</v>
      </c>
      <c r="U58" s="3">
        <v>0</v>
      </c>
      <c r="V58" s="3" t="s">
        <v>66</v>
      </c>
      <c r="W58" s="3">
        <v>0</v>
      </c>
      <c r="X58" s="3">
        <v>0</v>
      </c>
      <c r="Y58" s="3">
        <v>0</v>
      </c>
      <c r="Z58" s="3">
        <v>10</v>
      </c>
      <c r="AA58" s="3">
        <f>SUM(AB58,(AC58*0.67),(AD58*0.5))</f>
        <v>8</v>
      </c>
      <c r="AB58" s="3">
        <v>8</v>
      </c>
      <c r="AC58" s="3">
        <v>0</v>
      </c>
      <c r="AD58" s="3">
        <v>0</v>
      </c>
      <c r="AE58" s="3" t="s">
        <v>76</v>
      </c>
      <c r="AF58" s="3">
        <v>1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1</v>
      </c>
      <c r="AM58" s="3">
        <v>0</v>
      </c>
      <c r="AN58" s="3">
        <v>1</v>
      </c>
      <c r="AO58" s="3">
        <v>0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0</v>
      </c>
      <c r="AV58" s="3">
        <v>1</v>
      </c>
      <c r="AW58" s="3">
        <v>0</v>
      </c>
      <c r="AX58" s="3">
        <v>1</v>
      </c>
      <c r="AY58" s="3">
        <v>1</v>
      </c>
      <c r="AZ58" s="3" t="s">
        <v>254</v>
      </c>
      <c r="BE58" s="7"/>
    </row>
    <row r="59" spans="1:57">
      <c r="A59" s="3" t="s">
        <v>62</v>
      </c>
      <c r="B59" s="3" t="s">
        <v>234</v>
      </c>
      <c r="C59" s="3" t="s">
        <v>235</v>
      </c>
      <c r="D59" s="3" t="s">
        <v>167</v>
      </c>
      <c r="E59" s="4">
        <v>45915</v>
      </c>
      <c r="F59" s="3" t="s">
        <v>75</v>
      </c>
      <c r="G59" s="3" t="s">
        <v>236</v>
      </c>
      <c r="H59" s="5" t="s">
        <v>237</v>
      </c>
      <c r="I59" s="5" t="s">
        <v>238</v>
      </c>
      <c r="J59" s="5" t="s">
        <v>70</v>
      </c>
      <c r="K59" s="1">
        <v>13815</v>
      </c>
      <c r="L59" s="3" t="s">
        <v>239</v>
      </c>
      <c r="M59" s="3" t="s">
        <v>240</v>
      </c>
      <c r="N59" s="3">
        <v>20</v>
      </c>
      <c r="O59" s="3" t="s">
        <v>255</v>
      </c>
      <c r="P59" s="3">
        <v>302</v>
      </c>
      <c r="Q59" s="3">
        <v>302</v>
      </c>
      <c r="R59" s="3" t="s">
        <v>74</v>
      </c>
      <c r="S59" s="3">
        <v>1</v>
      </c>
      <c r="T59" s="3">
        <v>2</v>
      </c>
      <c r="U59" s="3">
        <v>0</v>
      </c>
      <c r="V59" s="3" t="s">
        <v>66</v>
      </c>
      <c r="W59" s="3">
        <v>0</v>
      </c>
      <c r="X59" s="3">
        <v>0</v>
      </c>
      <c r="Y59" s="3">
        <v>0</v>
      </c>
      <c r="Z59" s="3">
        <v>10</v>
      </c>
      <c r="AA59" s="3">
        <f>SUM(AB59,(AC59*0.67),(AD59*0.5))</f>
        <v>15.21</v>
      </c>
      <c r="AB59" s="3">
        <v>6.5</v>
      </c>
      <c r="AC59" s="3">
        <v>13</v>
      </c>
      <c r="AD59" s="3">
        <v>0</v>
      </c>
      <c r="AE59" s="3" t="s">
        <v>159</v>
      </c>
      <c r="AF59" s="3">
        <v>3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1</v>
      </c>
      <c r="AR59" s="3">
        <v>0</v>
      </c>
      <c r="AS59" s="3">
        <v>1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 t="s">
        <v>256</v>
      </c>
      <c r="BE59" s="7"/>
    </row>
    <row r="60" spans="1:57">
      <c r="A60" s="3" t="s">
        <v>62</v>
      </c>
      <c r="B60" s="3" t="s">
        <v>234</v>
      </c>
      <c r="C60" s="3" t="s">
        <v>235</v>
      </c>
      <c r="D60" s="3" t="s">
        <v>167</v>
      </c>
      <c r="E60" s="4">
        <v>45915</v>
      </c>
      <c r="F60" s="3" t="s">
        <v>75</v>
      </c>
      <c r="G60" s="3" t="s">
        <v>236</v>
      </c>
      <c r="H60" s="5" t="s">
        <v>237</v>
      </c>
      <c r="I60" s="5" t="s">
        <v>238</v>
      </c>
      <c r="J60" s="5" t="s">
        <v>70</v>
      </c>
      <c r="K60" s="1">
        <v>13815</v>
      </c>
      <c r="L60" s="3" t="s">
        <v>239</v>
      </c>
      <c r="M60" s="3" t="s">
        <v>240</v>
      </c>
      <c r="N60" s="3">
        <v>20</v>
      </c>
      <c r="O60" s="3" t="s">
        <v>257</v>
      </c>
      <c r="P60" s="3">
        <v>301</v>
      </c>
      <c r="Q60" s="3">
        <v>301</v>
      </c>
      <c r="R60" s="3" t="s">
        <v>74</v>
      </c>
      <c r="S60" s="3">
        <v>1</v>
      </c>
      <c r="T60" s="3">
        <v>1</v>
      </c>
      <c r="U60" s="3">
        <v>0</v>
      </c>
      <c r="V60" s="3" t="s">
        <v>66</v>
      </c>
      <c r="W60" s="3">
        <v>0</v>
      </c>
      <c r="X60" s="3">
        <v>0</v>
      </c>
      <c r="Y60" s="3">
        <v>0</v>
      </c>
      <c r="Z60" s="3">
        <v>10</v>
      </c>
      <c r="AA60" s="3">
        <f>SUM(AB60,(AC60*0.67),(AD60*0.5))</f>
        <v>8.6900000000000013</v>
      </c>
      <c r="AB60" s="3">
        <v>4</v>
      </c>
      <c r="AC60" s="3">
        <v>7</v>
      </c>
      <c r="AD60" s="3">
        <v>0</v>
      </c>
      <c r="AE60" s="3" t="s">
        <v>228</v>
      </c>
      <c r="AF60" s="3">
        <v>1.5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1</v>
      </c>
      <c r="AM60" s="3">
        <v>1</v>
      </c>
      <c r="AN60" s="3">
        <v>1</v>
      </c>
      <c r="AO60" s="3">
        <v>0</v>
      </c>
      <c r="AP60" s="3">
        <v>1</v>
      </c>
      <c r="AQ60" s="3">
        <v>1</v>
      </c>
      <c r="AR60" s="3">
        <v>1</v>
      </c>
      <c r="AS60" s="3">
        <v>1</v>
      </c>
      <c r="AT60" s="3">
        <v>1</v>
      </c>
      <c r="AU60" s="3">
        <v>0</v>
      </c>
      <c r="AV60" s="3">
        <v>1</v>
      </c>
      <c r="AW60" s="3">
        <v>0</v>
      </c>
      <c r="AX60" s="3">
        <v>1</v>
      </c>
      <c r="AY60" s="3">
        <v>1</v>
      </c>
      <c r="AZ60" s="3" t="s">
        <v>258</v>
      </c>
      <c r="BE60" s="7"/>
    </row>
    <row r="61" spans="1:57">
      <c r="A61" s="3" t="s">
        <v>62</v>
      </c>
      <c r="B61" s="3" t="s">
        <v>234</v>
      </c>
      <c r="C61" s="3" t="s">
        <v>235</v>
      </c>
      <c r="D61" s="3" t="s">
        <v>167</v>
      </c>
      <c r="E61" s="4">
        <v>45915</v>
      </c>
      <c r="F61" s="3" t="s">
        <v>66</v>
      </c>
      <c r="G61" s="3" t="s">
        <v>259</v>
      </c>
      <c r="H61" s="15" t="s">
        <v>260</v>
      </c>
      <c r="I61" s="5" t="s">
        <v>261</v>
      </c>
      <c r="J61" s="5" t="s">
        <v>70</v>
      </c>
      <c r="K61" s="1">
        <v>13843</v>
      </c>
      <c r="L61" s="3" t="s">
        <v>262</v>
      </c>
      <c r="M61" s="3" t="s">
        <v>263</v>
      </c>
      <c r="N61" s="3">
        <v>21</v>
      </c>
      <c r="O61" s="3" t="s">
        <v>264</v>
      </c>
      <c r="P61" s="3">
        <v>317</v>
      </c>
      <c r="Q61" s="3">
        <v>317</v>
      </c>
      <c r="R61" s="3" t="s">
        <v>74</v>
      </c>
      <c r="S61" s="3">
        <v>1</v>
      </c>
      <c r="T61" s="3">
        <v>3</v>
      </c>
      <c r="U61" s="3">
        <v>0</v>
      </c>
      <c r="V61" s="3" t="s">
        <v>66</v>
      </c>
      <c r="W61" s="3">
        <v>0</v>
      </c>
      <c r="X61" s="3">
        <v>0</v>
      </c>
      <c r="Y61" s="3">
        <v>0</v>
      </c>
      <c r="Z61" s="3">
        <v>10</v>
      </c>
      <c r="AA61" s="3">
        <f>SUM(AB61,(AC61*0.67),(AD61*0.5))</f>
        <v>4.68</v>
      </c>
      <c r="AB61" s="3">
        <v>2</v>
      </c>
      <c r="AC61" s="3">
        <v>4</v>
      </c>
      <c r="AD61" s="3">
        <v>0</v>
      </c>
      <c r="AE61" s="3" t="s">
        <v>159</v>
      </c>
      <c r="AF61" s="3">
        <v>0</v>
      </c>
      <c r="AG61" s="3">
        <v>0</v>
      </c>
      <c r="AH61" s="3">
        <v>0</v>
      </c>
      <c r="AI61" s="3">
        <v>0</v>
      </c>
      <c r="AJ61" s="3">
        <v>1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 t="s">
        <v>265</v>
      </c>
      <c r="BE61" s="7"/>
    </row>
    <row r="62" spans="1:57">
      <c r="A62" s="3" t="s">
        <v>62</v>
      </c>
      <c r="B62" s="3" t="s">
        <v>234</v>
      </c>
      <c r="C62" s="3" t="s">
        <v>235</v>
      </c>
      <c r="D62" s="3" t="s">
        <v>167</v>
      </c>
      <c r="E62" s="4">
        <v>45915</v>
      </c>
      <c r="F62" s="3" t="s">
        <v>66</v>
      </c>
      <c r="G62" s="3" t="s">
        <v>259</v>
      </c>
      <c r="H62" s="15" t="s">
        <v>266</v>
      </c>
      <c r="I62" s="5" t="s">
        <v>261</v>
      </c>
      <c r="J62" s="5" t="s">
        <v>70</v>
      </c>
      <c r="K62" s="1">
        <v>13844</v>
      </c>
      <c r="L62" s="3" t="s">
        <v>262</v>
      </c>
      <c r="M62" s="3" t="s">
        <v>263</v>
      </c>
      <c r="N62" s="3">
        <v>21</v>
      </c>
      <c r="O62" s="3" t="s">
        <v>267</v>
      </c>
      <c r="P62" s="3">
        <v>316</v>
      </c>
      <c r="Q62" s="3">
        <v>316</v>
      </c>
      <c r="R62" s="3" t="s">
        <v>74</v>
      </c>
      <c r="S62" s="3">
        <v>1</v>
      </c>
      <c r="T62" s="3">
        <v>3</v>
      </c>
      <c r="U62" s="3">
        <v>0</v>
      </c>
      <c r="V62" s="3" t="s">
        <v>66</v>
      </c>
      <c r="W62" s="3">
        <v>0</v>
      </c>
      <c r="X62" s="3">
        <v>0</v>
      </c>
      <c r="Y62" s="3">
        <v>0</v>
      </c>
      <c r="Z62" s="3">
        <v>10</v>
      </c>
      <c r="AA62" s="3">
        <f>SUM(AB62,(AC62*0.67),(AD62*0.5))</f>
        <v>11.695</v>
      </c>
      <c r="AB62" s="3">
        <v>6</v>
      </c>
      <c r="AC62" s="3">
        <v>8.5</v>
      </c>
      <c r="AD62" s="3">
        <v>0</v>
      </c>
      <c r="AE62" s="3" t="s">
        <v>76</v>
      </c>
      <c r="AF62" s="3">
        <v>3</v>
      </c>
      <c r="AG62" s="3">
        <v>0</v>
      </c>
      <c r="AH62" s="3">
        <v>0</v>
      </c>
      <c r="AI62" s="3">
        <v>0</v>
      </c>
      <c r="AJ62" s="3">
        <v>1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1</v>
      </c>
      <c r="AS62" s="3">
        <v>1</v>
      </c>
      <c r="AT62" s="3">
        <v>1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E62" s="7"/>
    </row>
    <row r="63" spans="1:57">
      <c r="A63" s="3" t="s">
        <v>62</v>
      </c>
      <c r="B63" s="3" t="s">
        <v>234</v>
      </c>
      <c r="C63" s="3" t="s">
        <v>235</v>
      </c>
      <c r="D63" s="3" t="s">
        <v>167</v>
      </c>
      <c r="E63" s="4">
        <v>45915</v>
      </c>
      <c r="F63" s="3" t="s">
        <v>66</v>
      </c>
      <c r="G63" s="3" t="s">
        <v>259</v>
      </c>
      <c r="H63" s="15" t="s">
        <v>268</v>
      </c>
      <c r="I63" s="5" t="s">
        <v>261</v>
      </c>
      <c r="J63" s="5" t="s">
        <v>70</v>
      </c>
      <c r="K63" s="1">
        <v>13845</v>
      </c>
      <c r="L63" s="3" t="s">
        <v>262</v>
      </c>
      <c r="M63" s="3" t="s">
        <v>263</v>
      </c>
      <c r="N63" s="3">
        <v>21</v>
      </c>
      <c r="O63" s="3" t="s">
        <v>269</v>
      </c>
      <c r="P63" s="3">
        <v>320</v>
      </c>
      <c r="Q63" s="3">
        <v>320</v>
      </c>
      <c r="R63" s="3" t="s">
        <v>74</v>
      </c>
      <c r="S63" s="3">
        <v>1</v>
      </c>
      <c r="T63" s="3">
        <v>4</v>
      </c>
      <c r="U63" s="3">
        <v>0</v>
      </c>
      <c r="V63" s="3" t="s">
        <v>66</v>
      </c>
      <c r="W63" s="3">
        <v>0</v>
      </c>
      <c r="X63" s="3">
        <v>0</v>
      </c>
      <c r="Y63" s="3">
        <v>0</v>
      </c>
      <c r="Z63" s="3">
        <v>10</v>
      </c>
      <c r="AA63" s="3">
        <f>SUM(AB63,(AC63*0.67),(AD63*0.5))</f>
        <v>9.0150000000000006</v>
      </c>
      <c r="AB63" s="3">
        <v>6</v>
      </c>
      <c r="AC63" s="3">
        <v>4.5</v>
      </c>
      <c r="AD63" s="3">
        <v>0</v>
      </c>
      <c r="AE63" s="3" t="s">
        <v>76</v>
      </c>
      <c r="AF63" s="3">
        <v>3</v>
      </c>
      <c r="AG63" s="3">
        <v>0</v>
      </c>
      <c r="AH63" s="3">
        <v>0</v>
      </c>
      <c r="AI63" s="3">
        <v>0</v>
      </c>
      <c r="AJ63" s="3">
        <v>1</v>
      </c>
      <c r="AK63" s="3">
        <v>0</v>
      </c>
      <c r="AL63" s="3">
        <v>0</v>
      </c>
      <c r="AM63" s="3">
        <v>0</v>
      </c>
      <c r="AN63" s="3">
        <v>1</v>
      </c>
      <c r="AO63" s="3">
        <v>0</v>
      </c>
      <c r="AP63" s="3">
        <v>0</v>
      </c>
      <c r="AQ63" s="3">
        <v>0</v>
      </c>
      <c r="AR63" s="3">
        <v>1</v>
      </c>
      <c r="AS63" s="3">
        <v>1</v>
      </c>
      <c r="AT63" s="3">
        <v>1</v>
      </c>
      <c r="AU63" s="3">
        <v>0</v>
      </c>
      <c r="AV63" s="3">
        <v>1</v>
      </c>
      <c r="AW63" s="3">
        <v>0</v>
      </c>
      <c r="AX63" s="3">
        <v>0</v>
      </c>
      <c r="AY63" s="3">
        <v>1</v>
      </c>
      <c r="AZ63" s="3" t="s">
        <v>270</v>
      </c>
      <c r="BE63" s="7"/>
    </row>
    <row r="64" spans="1:57">
      <c r="A64" s="3" t="s">
        <v>62</v>
      </c>
      <c r="B64" s="3" t="s">
        <v>234</v>
      </c>
      <c r="C64" s="3" t="s">
        <v>235</v>
      </c>
      <c r="D64" s="3" t="s">
        <v>167</v>
      </c>
      <c r="E64" s="4">
        <v>45915</v>
      </c>
      <c r="F64" s="3" t="s">
        <v>66</v>
      </c>
      <c r="G64" s="3" t="s">
        <v>259</v>
      </c>
      <c r="H64" s="15" t="s">
        <v>271</v>
      </c>
      <c r="I64" s="5" t="s">
        <v>261</v>
      </c>
      <c r="J64" s="5" t="s">
        <v>70</v>
      </c>
      <c r="K64" s="1">
        <v>13846</v>
      </c>
      <c r="L64" s="3" t="s">
        <v>262</v>
      </c>
      <c r="M64" s="3" t="s">
        <v>263</v>
      </c>
      <c r="N64" s="3">
        <v>21</v>
      </c>
      <c r="O64" s="3" t="s">
        <v>272</v>
      </c>
      <c r="P64" s="3">
        <v>319</v>
      </c>
      <c r="Q64" s="3">
        <v>319</v>
      </c>
      <c r="R64" s="3" t="s">
        <v>74</v>
      </c>
      <c r="S64" s="3">
        <v>1</v>
      </c>
      <c r="T64" s="3">
        <v>5</v>
      </c>
      <c r="U64" s="3">
        <v>0</v>
      </c>
      <c r="V64" s="3" t="s">
        <v>66</v>
      </c>
      <c r="W64" s="3">
        <v>0</v>
      </c>
      <c r="X64" s="3">
        <v>0</v>
      </c>
      <c r="Y64" s="3">
        <v>0</v>
      </c>
      <c r="Z64" s="3">
        <v>10</v>
      </c>
      <c r="AA64" s="3">
        <f>SUM(AB64,(AC64*0.67),(AD64*0.5))</f>
        <v>15.72</v>
      </c>
      <c r="AB64" s="3">
        <v>5</v>
      </c>
      <c r="AC64" s="3">
        <v>16</v>
      </c>
      <c r="AD64" s="3">
        <v>0</v>
      </c>
      <c r="AE64" s="3" t="s">
        <v>273</v>
      </c>
      <c r="AF64" s="3">
        <v>1</v>
      </c>
      <c r="AG64" s="3">
        <v>1</v>
      </c>
      <c r="AH64" s="3">
        <v>0</v>
      </c>
      <c r="AI64" s="3">
        <v>0</v>
      </c>
      <c r="AJ64" s="3">
        <v>1</v>
      </c>
      <c r="AK64" s="3">
        <v>0</v>
      </c>
      <c r="AL64" s="3">
        <v>0</v>
      </c>
      <c r="AM64" s="3">
        <v>0</v>
      </c>
      <c r="AN64" s="3">
        <v>1</v>
      </c>
      <c r="AO64" s="3">
        <v>0</v>
      </c>
      <c r="AP64" s="3">
        <v>0</v>
      </c>
      <c r="AQ64" s="3">
        <v>1</v>
      </c>
      <c r="AR64" s="3">
        <v>1</v>
      </c>
      <c r="AS64" s="3">
        <v>1</v>
      </c>
      <c r="AT64" s="3">
        <v>1</v>
      </c>
      <c r="AU64" s="3">
        <v>0</v>
      </c>
      <c r="AV64" s="3">
        <v>0</v>
      </c>
      <c r="AW64" s="3">
        <v>0</v>
      </c>
      <c r="AX64" s="3">
        <v>0</v>
      </c>
      <c r="AY64" s="3">
        <v>1</v>
      </c>
      <c r="AZ64" s="3" t="s">
        <v>274</v>
      </c>
      <c r="BE64" s="7"/>
    </row>
    <row r="65" spans="1:57">
      <c r="A65" s="3" t="s">
        <v>62</v>
      </c>
      <c r="B65" s="3" t="s">
        <v>234</v>
      </c>
      <c r="C65" s="3" t="s">
        <v>235</v>
      </c>
      <c r="D65" s="3" t="s">
        <v>167</v>
      </c>
      <c r="E65" s="4">
        <v>45915</v>
      </c>
      <c r="F65" s="3" t="s">
        <v>66</v>
      </c>
      <c r="G65" s="3" t="s">
        <v>259</v>
      </c>
      <c r="H65" s="15" t="s">
        <v>275</v>
      </c>
      <c r="I65" s="5" t="s">
        <v>261</v>
      </c>
      <c r="J65" s="5" t="s">
        <v>70</v>
      </c>
      <c r="K65" s="1">
        <v>13847</v>
      </c>
      <c r="L65" s="3" t="s">
        <v>262</v>
      </c>
      <c r="M65" s="3" t="s">
        <v>263</v>
      </c>
      <c r="N65" s="3">
        <v>21</v>
      </c>
      <c r="O65" s="3" t="s">
        <v>276</v>
      </c>
      <c r="P65" s="3">
        <v>311</v>
      </c>
      <c r="Q65" s="3">
        <v>311</v>
      </c>
      <c r="R65" s="3" t="s">
        <v>74</v>
      </c>
      <c r="S65" s="3">
        <v>1</v>
      </c>
      <c r="T65" s="3">
        <v>5</v>
      </c>
      <c r="U65" s="3">
        <v>0</v>
      </c>
      <c r="V65" s="3" t="s">
        <v>66</v>
      </c>
      <c r="W65" s="3">
        <v>0</v>
      </c>
      <c r="X65" s="3">
        <v>0</v>
      </c>
      <c r="Y65" s="3">
        <v>0</v>
      </c>
      <c r="Z65" s="3">
        <v>10</v>
      </c>
      <c r="AA65" s="3">
        <f>SUM(AB65,(AC65*0.67),(AD65*0.5))</f>
        <v>10.690000000000001</v>
      </c>
      <c r="AB65" s="3">
        <v>6</v>
      </c>
      <c r="AC65" s="3">
        <v>7</v>
      </c>
      <c r="AD65" s="3">
        <v>0</v>
      </c>
      <c r="AE65" s="3" t="s">
        <v>76</v>
      </c>
      <c r="AF65" s="3">
        <v>3</v>
      </c>
      <c r="AG65" s="3">
        <v>0</v>
      </c>
      <c r="AH65" s="3">
        <v>0</v>
      </c>
      <c r="AI65" s="3">
        <v>0</v>
      </c>
      <c r="AJ65" s="3">
        <v>1</v>
      </c>
      <c r="AK65" s="3">
        <v>0</v>
      </c>
      <c r="AL65" s="3">
        <v>0</v>
      </c>
      <c r="AM65" s="3">
        <v>0</v>
      </c>
      <c r="AN65" s="3">
        <v>1</v>
      </c>
      <c r="AO65" s="3">
        <v>0</v>
      </c>
      <c r="AP65" s="3">
        <v>0</v>
      </c>
      <c r="AQ65" s="3">
        <v>0</v>
      </c>
      <c r="AR65" s="3">
        <v>1</v>
      </c>
      <c r="AS65" s="3">
        <v>1</v>
      </c>
      <c r="AT65" s="3">
        <v>1</v>
      </c>
      <c r="AU65" s="3">
        <v>0</v>
      </c>
      <c r="AV65" s="3">
        <v>1</v>
      </c>
      <c r="AW65" s="3">
        <v>0</v>
      </c>
      <c r="AX65" s="3">
        <v>1</v>
      </c>
      <c r="AY65" s="3">
        <v>1</v>
      </c>
      <c r="AZ65" s="3">
        <v>0</v>
      </c>
      <c r="BE65" s="7"/>
    </row>
    <row r="66" spans="1:57">
      <c r="A66" s="3" t="s">
        <v>62</v>
      </c>
      <c r="B66" s="3" t="s">
        <v>234</v>
      </c>
      <c r="C66" s="3" t="s">
        <v>235</v>
      </c>
      <c r="D66" s="3" t="s">
        <v>167</v>
      </c>
      <c r="E66" s="4">
        <v>45915</v>
      </c>
      <c r="F66" s="3" t="s">
        <v>66</v>
      </c>
      <c r="G66" s="3" t="s">
        <v>259</v>
      </c>
      <c r="H66" s="15" t="s">
        <v>277</v>
      </c>
      <c r="I66" s="5" t="s">
        <v>261</v>
      </c>
      <c r="J66" s="5" t="s">
        <v>70</v>
      </c>
      <c r="K66" s="1">
        <v>13848</v>
      </c>
      <c r="L66" s="3" t="s">
        <v>262</v>
      </c>
      <c r="M66" s="3" t="s">
        <v>263</v>
      </c>
      <c r="N66" s="3">
        <v>21</v>
      </c>
      <c r="O66" s="3" t="s">
        <v>278</v>
      </c>
      <c r="P66" s="3">
        <v>315</v>
      </c>
      <c r="Q66" s="3">
        <v>315</v>
      </c>
      <c r="R66" s="3" t="s">
        <v>74</v>
      </c>
      <c r="S66" s="3">
        <v>1</v>
      </c>
      <c r="T66" s="3">
        <v>5</v>
      </c>
      <c r="U66" s="3">
        <v>0</v>
      </c>
      <c r="V66" s="3" t="s">
        <v>66</v>
      </c>
      <c r="W66" s="3">
        <v>0</v>
      </c>
      <c r="X66" s="3">
        <v>0</v>
      </c>
      <c r="Y66" s="3">
        <v>0</v>
      </c>
      <c r="Z66" s="3">
        <v>10</v>
      </c>
      <c r="AA66" s="3">
        <f>SUM(AB66,(AC66*0.67),(AD66*0.5))</f>
        <v>23.42</v>
      </c>
      <c r="AB66" s="3">
        <v>6</v>
      </c>
      <c r="AC66" s="3">
        <v>26</v>
      </c>
      <c r="AD66" s="3">
        <v>0</v>
      </c>
      <c r="AE66" s="3" t="s">
        <v>76</v>
      </c>
      <c r="AF66" s="3">
        <v>2.5</v>
      </c>
      <c r="AG66" s="3">
        <v>0</v>
      </c>
      <c r="AH66" s="3">
        <v>0</v>
      </c>
      <c r="AI66" s="3">
        <v>0</v>
      </c>
      <c r="AJ66" s="3">
        <v>1</v>
      </c>
      <c r="AK66" s="3">
        <v>0</v>
      </c>
      <c r="AL66" s="3">
        <v>0</v>
      </c>
      <c r="AM66" s="3">
        <v>0</v>
      </c>
      <c r="AN66" s="3">
        <v>1</v>
      </c>
      <c r="AO66" s="3">
        <v>0</v>
      </c>
      <c r="AP66" s="3">
        <v>0</v>
      </c>
      <c r="AQ66" s="3">
        <v>0</v>
      </c>
      <c r="AR66" s="3">
        <v>1</v>
      </c>
      <c r="AS66" s="3">
        <v>1</v>
      </c>
      <c r="AT66" s="3">
        <v>1</v>
      </c>
      <c r="AU66" s="3">
        <v>0</v>
      </c>
      <c r="AV66" s="3">
        <v>0</v>
      </c>
      <c r="AW66" s="3">
        <v>0</v>
      </c>
      <c r="AX66" s="3">
        <v>1</v>
      </c>
      <c r="AY66" s="3">
        <v>0</v>
      </c>
      <c r="AZ66" s="3" t="s">
        <v>39</v>
      </c>
      <c r="BE66" s="7"/>
    </row>
    <row r="67" spans="1:57">
      <c r="A67" s="3" t="s">
        <v>62</v>
      </c>
      <c r="B67" s="3" t="s">
        <v>234</v>
      </c>
      <c r="C67" s="3" t="s">
        <v>235</v>
      </c>
      <c r="D67" s="3" t="s">
        <v>167</v>
      </c>
      <c r="E67" s="4">
        <v>45915</v>
      </c>
      <c r="F67" s="3" t="s">
        <v>66</v>
      </c>
      <c r="G67" s="3" t="s">
        <v>259</v>
      </c>
      <c r="H67" s="15" t="s">
        <v>279</v>
      </c>
      <c r="I67" s="5" t="s">
        <v>261</v>
      </c>
      <c r="J67" s="5" t="s">
        <v>70</v>
      </c>
      <c r="K67" s="1">
        <v>13849</v>
      </c>
      <c r="L67" s="3" t="s">
        <v>262</v>
      </c>
      <c r="M67" s="3" t="s">
        <v>263</v>
      </c>
      <c r="N67" s="3">
        <v>21</v>
      </c>
      <c r="O67" s="3" t="s">
        <v>280</v>
      </c>
      <c r="P67" s="3">
        <v>312</v>
      </c>
      <c r="Q67" s="3">
        <v>312</v>
      </c>
      <c r="R67" s="3" t="s">
        <v>74</v>
      </c>
      <c r="S67" s="3">
        <v>1</v>
      </c>
      <c r="T67" s="3">
        <v>4</v>
      </c>
      <c r="U67" s="3">
        <v>0</v>
      </c>
      <c r="V67" s="3" t="s">
        <v>66</v>
      </c>
      <c r="W67" s="3">
        <v>0</v>
      </c>
      <c r="X67" s="3">
        <v>0</v>
      </c>
      <c r="Y67" s="3">
        <v>0</v>
      </c>
      <c r="Z67" s="3">
        <v>10</v>
      </c>
      <c r="AA67" s="3">
        <f>SUM(AB67,(AC67*0.67),(AD67*0.5))</f>
        <v>8.0250000000000004</v>
      </c>
      <c r="AB67" s="3">
        <v>3</v>
      </c>
      <c r="AC67" s="3">
        <v>7.5</v>
      </c>
      <c r="AD67" s="3">
        <v>0</v>
      </c>
      <c r="AE67" s="3" t="s">
        <v>76</v>
      </c>
      <c r="AF67" s="3">
        <v>2</v>
      </c>
      <c r="AG67" s="3">
        <v>1</v>
      </c>
      <c r="AH67" s="3">
        <v>0</v>
      </c>
      <c r="AI67" s="3">
        <v>0</v>
      </c>
      <c r="AJ67" s="3">
        <v>1</v>
      </c>
      <c r="AK67" s="3">
        <v>0</v>
      </c>
      <c r="AL67" s="3">
        <v>0</v>
      </c>
      <c r="AM67" s="3">
        <v>0</v>
      </c>
      <c r="AN67" s="3">
        <v>1</v>
      </c>
      <c r="AO67" s="3">
        <v>0</v>
      </c>
      <c r="AP67" s="3">
        <v>0</v>
      </c>
      <c r="AQ67" s="3">
        <v>1</v>
      </c>
      <c r="AR67" s="3">
        <v>1</v>
      </c>
      <c r="AS67" s="3">
        <v>1</v>
      </c>
      <c r="AT67" s="3">
        <v>1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 t="s">
        <v>281</v>
      </c>
      <c r="BE67" s="7"/>
    </row>
    <row r="68" spans="1:57">
      <c r="A68" s="3" t="s">
        <v>62</v>
      </c>
      <c r="B68" s="3" t="s">
        <v>234</v>
      </c>
      <c r="C68" s="3" t="s">
        <v>235</v>
      </c>
      <c r="D68" s="3" t="s">
        <v>167</v>
      </c>
      <c r="E68" s="4">
        <v>45915</v>
      </c>
      <c r="F68" s="3" t="s">
        <v>66</v>
      </c>
      <c r="G68" s="3" t="s">
        <v>259</v>
      </c>
      <c r="H68" s="15" t="s">
        <v>282</v>
      </c>
      <c r="I68" s="5" t="s">
        <v>261</v>
      </c>
      <c r="J68" s="5" t="s">
        <v>70</v>
      </c>
      <c r="K68" s="1">
        <v>13850</v>
      </c>
      <c r="L68" s="3" t="s">
        <v>262</v>
      </c>
      <c r="M68" s="3" t="s">
        <v>263</v>
      </c>
      <c r="N68" s="3">
        <v>21</v>
      </c>
      <c r="O68" s="3" t="s">
        <v>283</v>
      </c>
      <c r="P68" s="3">
        <v>318</v>
      </c>
      <c r="Q68" s="3">
        <v>318</v>
      </c>
      <c r="R68" s="3" t="s">
        <v>74</v>
      </c>
      <c r="S68" s="3">
        <v>1</v>
      </c>
      <c r="T68" s="3">
        <v>4</v>
      </c>
      <c r="U68" s="3">
        <v>0</v>
      </c>
      <c r="V68" s="3" t="s">
        <v>66</v>
      </c>
      <c r="W68" s="3">
        <v>0</v>
      </c>
      <c r="X68" s="3">
        <v>0</v>
      </c>
      <c r="Y68" s="3">
        <v>0</v>
      </c>
      <c r="Z68" s="3">
        <v>10</v>
      </c>
      <c r="AA68" s="3">
        <f>SUM(AB68,(AC68*0.67),(AD68*0.5))</f>
        <v>7.68</v>
      </c>
      <c r="AB68" s="3">
        <v>5</v>
      </c>
      <c r="AC68" s="3">
        <v>4</v>
      </c>
      <c r="AD68" s="3">
        <v>0</v>
      </c>
      <c r="AE68" s="3" t="s">
        <v>76</v>
      </c>
      <c r="AF68" s="3">
        <v>1.5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1</v>
      </c>
      <c r="AO68" s="3">
        <v>0</v>
      </c>
      <c r="AP68" s="3">
        <v>1</v>
      </c>
      <c r="AQ68" s="3">
        <v>0</v>
      </c>
      <c r="AR68" s="3">
        <v>1</v>
      </c>
      <c r="AS68" s="3">
        <v>1</v>
      </c>
      <c r="AT68" s="3">
        <v>1</v>
      </c>
      <c r="AU68" s="3">
        <v>0</v>
      </c>
      <c r="AV68" s="3">
        <v>1</v>
      </c>
      <c r="AW68" s="3">
        <v>0</v>
      </c>
      <c r="AX68" s="3">
        <v>1</v>
      </c>
      <c r="AY68" s="3">
        <v>1</v>
      </c>
      <c r="AZ68" s="3" t="s">
        <v>284</v>
      </c>
      <c r="BE68" s="7"/>
    </row>
    <row r="69" spans="1:57">
      <c r="A69" s="3" t="s">
        <v>62</v>
      </c>
      <c r="B69" s="3" t="s">
        <v>234</v>
      </c>
      <c r="C69" s="3" t="s">
        <v>235</v>
      </c>
      <c r="D69" s="3" t="s">
        <v>167</v>
      </c>
      <c r="E69" s="4">
        <v>45915</v>
      </c>
      <c r="F69" s="3" t="s">
        <v>66</v>
      </c>
      <c r="G69" s="3" t="s">
        <v>259</v>
      </c>
      <c r="H69" s="15" t="s">
        <v>285</v>
      </c>
      <c r="I69" s="5" t="s">
        <v>261</v>
      </c>
      <c r="J69" s="5" t="s">
        <v>70</v>
      </c>
      <c r="K69" s="1">
        <v>13851</v>
      </c>
      <c r="L69" s="3" t="s">
        <v>262</v>
      </c>
      <c r="M69" s="3" t="s">
        <v>263</v>
      </c>
      <c r="N69" s="3">
        <v>21</v>
      </c>
      <c r="O69" s="3" t="s">
        <v>286</v>
      </c>
      <c r="P69" s="3">
        <v>314</v>
      </c>
      <c r="Q69" s="3">
        <v>314</v>
      </c>
      <c r="R69" s="3" t="s">
        <v>74</v>
      </c>
      <c r="S69" s="3">
        <v>1</v>
      </c>
      <c r="T69" s="3">
        <v>1</v>
      </c>
      <c r="U69" s="3">
        <v>0</v>
      </c>
      <c r="V69" s="3" t="s">
        <v>66</v>
      </c>
      <c r="W69" s="3">
        <v>0</v>
      </c>
      <c r="X69" s="3">
        <v>0</v>
      </c>
      <c r="Y69" s="3">
        <v>0</v>
      </c>
      <c r="Z69" s="3">
        <v>10</v>
      </c>
      <c r="AA69" s="3">
        <f>SUM(AB69,(AC69*0.67),(AD69*0.5))</f>
        <v>5.51</v>
      </c>
      <c r="AB69" s="3">
        <v>3.5</v>
      </c>
      <c r="AC69" s="3">
        <v>3</v>
      </c>
      <c r="AD69" s="3">
        <v>0</v>
      </c>
      <c r="AE69" s="3" t="s">
        <v>76</v>
      </c>
      <c r="AF69" s="3">
        <v>1.5</v>
      </c>
      <c r="AG69" s="3">
        <v>0</v>
      </c>
      <c r="AH69" s="3">
        <v>0</v>
      </c>
      <c r="AI69" s="3">
        <v>0</v>
      </c>
      <c r="AJ69" s="3">
        <v>1</v>
      </c>
      <c r="AK69" s="3">
        <v>0</v>
      </c>
      <c r="AL69" s="3">
        <v>0</v>
      </c>
      <c r="AM69" s="3">
        <v>0</v>
      </c>
      <c r="AN69" s="3">
        <v>1</v>
      </c>
      <c r="AO69" s="3">
        <v>0</v>
      </c>
      <c r="AP69" s="3">
        <v>0</v>
      </c>
      <c r="AQ69" s="3">
        <v>1</v>
      </c>
      <c r="AR69" s="3">
        <v>1</v>
      </c>
      <c r="AS69" s="3">
        <v>1</v>
      </c>
      <c r="AT69" s="3">
        <v>1</v>
      </c>
      <c r="AU69" s="3">
        <v>0</v>
      </c>
      <c r="AV69" s="3">
        <v>0</v>
      </c>
      <c r="AW69" s="3">
        <v>0</v>
      </c>
      <c r="AX69" s="3">
        <v>1</v>
      </c>
      <c r="AY69" s="3">
        <v>1</v>
      </c>
      <c r="AZ69" s="3" t="s">
        <v>287</v>
      </c>
      <c r="BE69" s="7"/>
    </row>
    <row r="70" spans="1:57">
      <c r="A70" s="3" t="s">
        <v>62</v>
      </c>
      <c r="B70" s="3" t="s">
        <v>234</v>
      </c>
      <c r="C70" s="3" t="s">
        <v>235</v>
      </c>
      <c r="D70" s="3" t="s">
        <v>167</v>
      </c>
      <c r="E70" s="4">
        <v>45915</v>
      </c>
      <c r="F70" s="3" t="s">
        <v>66</v>
      </c>
      <c r="G70" s="3" t="s">
        <v>259</v>
      </c>
      <c r="H70" s="15" t="s">
        <v>288</v>
      </c>
      <c r="I70" s="5" t="s">
        <v>261</v>
      </c>
      <c r="J70" s="5" t="s">
        <v>70</v>
      </c>
      <c r="K70" s="1">
        <v>13852</v>
      </c>
      <c r="L70" s="3" t="s">
        <v>262</v>
      </c>
      <c r="M70" s="3" t="s">
        <v>263</v>
      </c>
      <c r="N70" s="3">
        <v>21</v>
      </c>
      <c r="O70" s="3" t="s">
        <v>289</v>
      </c>
      <c r="P70" s="3">
        <v>313</v>
      </c>
      <c r="Q70" s="3">
        <v>313</v>
      </c>
      <c r="R70" s="3" t="s">
        <v>74</v>
      </c>
      <c r="S70" s="3">
        <v>1</v>
      </c>
      <c r="T70" s="3">
        <v>3</v>
      </c>
      <c r="U70" s="3">
        <v>0</v>
      </c>
      <c r="V70" s="3" t="s">
        <v>66</v>
      </c>
      <c r="W70" s="3">
        <v>0</v>
      </c>
      <c r="X70" s="3">
        <v>0</v>
      </c>
      <c r="Y70" s="3">
        <v>0</v>
      </c>
      <c r="Z70" s="3">
        <v>10</v>
      </c>
      <c r="AA70" s="3">
        <f>SUM(AB70,(AC70*0.67),(AD70*0.5))</f>
        <v>3.835</v>
      </c>
      <c r="AB70" s="3">
        <v>3.5</v>
      </c>
      <c r="AC70" s="3">
        <v>0.5</v>
      </c>
      <c r="AD70" s="3">
        <v>0</v>
      </c>
      <c r="AE70" s="3" t="s">
        <v>159</v>
      </c>
      <c r="AF70" s="3">
        <v>1</v>
      </c>
      <c r="AG70" s="3">
        <v>0</v>
      </c>
      <c r="AH70" s="3">
        <v>0</v>
      </c>
      <c r="AI70" s="3">
        <v>0</v>
      </c>
      <c r="AJ70" s="3">
        <v>1</v>
      </c>
      <c r="AK70" s="3">
        <v>0</v>
      </c>
      <c r="AL70" s="3">
        <v>0</v>
      </c>
      <c r="AM70" s="3">
        <v>0</v>
      </c>
      <c r="AN70" s="3">
        <v>1</v>
      </c>
      <c r="AO70" s="3">
        <v>0</v>
      </c>
      <c r="AP70" s="3">
        <v>0</v>
      </c>
      <c r="AQ70" s="3">
        <v>0</v>
      </c>
      <c r="AR70" s="3">
        <v>1</v>
      </c>
      <c r="AS70" s="3">
        <v>1</v>
      </c>
      <c r="AT70" s="3">
        <v>1</v>
      </c>
      <c r="AU70" s="3">
        <v>0</v>
      </c>
      <c r="AV70" s="3">
        <v>0</v>
      </c>
      <c r="AW70" s="3">
        <v>0</v>
      </c>
      <c r="AX70" s="3">
        <v>1</v>
      </c>
      <c r="AY70" s="3">
        <v>1</v>
      </c>
      <c r="AZ70" s="3" t="s">
        <v>290</v>
      </c>
      <c r="BE70" s="7"/>
    </row>
    <row r="71" spans="1:57">
      <c r="A71" s="3" t="s">
        <v>62</v>
      </c>
      <c r="B71" s="3" t="s">
        <v>291</v>
      </c>
      <c r="C71" s="3" t="s">
        <v>292</v>
      </c>
      <c r="D71" s="3" t="s">
        <v>188</v>
      </c>
      <c r="E71" s="4">
        <v>45908</v>
      </c>
      <c r="F71" s="3" t="s">
        <v>66</v>
      </c>
      <c r="G71" s="3" t="s">
        <v>293</v>
      </c>
      <c r="H71" s="5" t="s">
        <v>294</v>
      </c>
      <c r="I71" s="5" t="s">
        <v>295</v>
      </c>
      <c r="J71" s="5" t="s">
        <v>70</v>
      </c>
      <c r="K71" s="1">
        <v>11576</v>
      </c>
      <c r="L71" s="3" t="s">
        <v>296</v>
      </c>
      <c r="M71" s="3" t="s">
        <v>297</v>
      </c>
      <c r="N71" s="3">
        <v>7</v>
      </c>
      <c r="O71" s="3" t="s">
        <v>298</v>
      </c>
      <c r="P71" s="3">
        <v>106</v>
      </c>
      <c r="Q71" s="3">
        <v>106</v>
      </c>
      <c r="R71" s="3" t="s">
        <v>74</v>
      </c>
      <c r="S71" s="3">
        <v>1</v>
      </c>
      <c r="T71" s="3">
        <v>0</v>
      </c>
      <c r="U71" s="3">
        <v>0</v>
      </c>
      <c r="V71" s="3" t="s">
        <v>75</v>
      </c>
      <c r="W71" s="3">
        <v>0</v>
      </c>
      <c r="X71" s="3">
        <v>3</v>
      </c>
      <c r="Y71" s="3">
        <v>0</v>
      </c>
      <c r="Z71" s="3">
        <v>10</v>
      </c>
      <c r="AA71" s="17">
        <f>SUM((AB71),(AC71*(2/3)),(AD71*(1/2)))</f>
        <v>9.6666666666666661</v>
      </c>
      <c r="AB71" s="3">
        <v>5</v>
      </c>
      <c r="AC71" s="3">
        <v>7</v>
      </c>
      <c r="AD71" s="3">
        <v>0</v>
      </c>
      <c r="AE71" s="3" t="s">
        <v>76</v>
      </c>
      <c r="AF71" s="3">
        <v>2.5</v>
      </c>
      <c r="AG71" s="3">
        <v>1</v>
      </c>
      <c r="AH71" s="3">
        <v>0</v>
      </c>
      <c r="AI71" s="3">
        <v>0</v>
      </c>
      <c r="AJ71" s="3">
        <v>1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1</v>
      </c>
      <c r="AS71" s="3">
        <v>1</v>
      </c>
      <c r="AT71" s="3">
        <v>0</v>
      </c>
      <c r="AU71" s="3">
        <v>0</v>
      </c>
      <c r="AV71" s="3">
        <v>1</v>
      </c>
      <c r="AW71" s="3">
        <v>0</v>
      </c>
      <c r="AX71" s="3">
        <v>0</v>
      </c>
      <c r="AY71" s="3">
        <v>0</v>
      </c>
      <c r="AZ71" s="3" t="s">
        <v>299</v>
      </c>
      <c r="BE71" s="7"/>
    </row>
    <row r="72" spans="1:57">
      <c r="A72" s="3" t="s">
        <v>62</v>
      </c>
      <c r="B72" s="3" t="s">
        <v>291</v>
      </c>
      <c r="C72" s="3" t="s">
        <v>292</v>
      </c>
      <c r="D72" s="3" t="s">
        <v>188</v>
      </c>
      <c r="E72" s="4">
        <v>45908</v>
      </c>
      <c r="F72" s="3" t="s">
        <v>66</v>
      </c>
      <c r="G72" s="3" t="s">
        <v>293</v>
      </c>
      <c r="H72" s="5" t="s">
        <v>294</v>
      </c>
      <c r="I72" s="5" t="s">
        <v>295</v>
      </c>
      <c r="J72" s="5" t="s">
        <v>70</v>
      </c>
      <c r="K72" s="1">
        <v>11576</v>
      </c>
      <c r="L72" s="3" t="s">
        <v>296</v>
      </c>
      <c r="M72" s="3" t="s">
        <v>297</v>
      </c>
      <c r="N72" s="3">
        <v>7</v>
      </c>
      <c r="O72" s="3" t="s">
        <v>300</v>
      </c>
      <c r="P72" s="3">
        <v>108</v>
      </c>
      <c r="Q72" s="3">
        <v>108</v>
      </c>
      <c r="R72" s="3" t="s">
        <v>74</v>
      </c>
      <c r="S72" s="3">
        <v>1</v>
      </c>
      <c r="T72" s="3">
        <v>0</v>
      </c>
      <c r="U72" s="3">
        <v>0</v>
      </c>
      <c r="V72" s="3" t="s">
        <v>75</v>
      </c>
      <c r="W72" s="3">
        <v>0</v>
      </c>
      <c r="X72" s="3">
        <v>3</v>
      </c>
      <c r="Y72" s="3">
        <v>0</v>
      </c>
      <c r="Z72" s="3">
        <v>10</v>
      </c>
      <c r="AA72" s="17">
        <f>SUM((AB72),(AC72*(2/3)),(AD72*(1/2)))</f>
        <v>16.333333333333332</v>
      </c>
      <c r="AB72" s="3">
        <v>7</v>
      </c>
      <c r="AC72" s="3">
        <v>14</v>
      </c>
      <c r="AD72" s="3">
        <v>0</v>
      </c>
      <c r="AE72" s="3" t="s">
        <v>76</v>
      </c>
      <c r="AF72" s="3">
        <v>3.5</v>
      </c>
      <c r="AG72" s="3">
        <v>0</v>
      </c>
      <c r="AH72" s="3">
        <v>0</v>
      </c>
      <c r="AI72" s="3">
        <v>0</v>
      </c>
      <c r="AJ72" s="3">
        <v>1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1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 t="s">
        <v>301</v>
      </c>
      <c r="BE72" s="7"/>
    </row>
    <row r="73" spans="1:57">
      <c r="A73" s="3" t="s">
        <v>62</v>
      </c>
      <c r="B73" s="3" t="s">
        <v>291</v>
      </c>
      <c r="C73" s="3" t="s">
        <v>292</v>
      </c>
      <c r="D73" s="3" t="s">
        <v>188</v>
      </c>
      <c r="E73" s="4">
        <v>45908</v>
      </c>
      <c r="F73" s="3" t="s">
        <v>66</v>
      </c>
      <c r="G73" s="3" t="s">
        <v>293</v>
      </c>
      <c r="H73" s="5" t="s">
        <v>294</v>
      </c>
      <c r="I73" s="5" t="s">
        <v>295</v>
      </c>
      <c r="J73" s="5" t="s">
        <v>70</v>
      </c>
      <c r="K73" s="1">
        <v>11576</v>
      </c>
      <c r="L73" s="3" t="s">
        <v>296</v>
      </c>
      <c r="M73" s="3" t="s">
        <v>297</v>
      </c>
      <c r="N73" s="3">
        <v>7</v>
      </c>
      <c r="O73" s="3" t="s">
        <v>302</v>
      </c>
      <c r="P73" s="3">
        <v>107</v>
      </c>
      <c r="Q73" s="3">
        <v>107</v>
      </c>
      <c r="R73" s="3" t="s">
        <v>74</v>
      </c>
      <c r="S73" s="3">
        <v>1</v>
      </c>
      <c r="T73" s="3">
        <v>0</v>
      </c>
      <c r="U73" s="3">
        <v>0</v>
      </c>
      <c r="V73" s="3" t="s">
        <v>75</v>
      </c>
      <c r="W73" s="3">
        <v>0</v>
      </c>
      <c r="X73" s="3">
        <v>4</v>
      </c>
      <c r="Y73" s="3">
        <v>0</v>
      </c>
      <c r="Z73" s="3">
        <v>10</v>
      </c>
      <c r="AA73" s="17">
        <f>SUM((AB73),(AC73*(2/3)),(AD73*(1/2)))</f>
        <v>10</v>
      </c>
      <c r="AB73" s="3">
        <v>6</v>
      </c>
      <c r="AC73" s="3">
        <v>6</v>
      </c>
      <c r="AD73" s="3">
        <v>0</v>
      </c>
      <c r="AE73" s="3" t="s">
        <v>76</v>
      </c>
      <c r="AF73" s="3">
        <v>2.5</v>
      </c>
      <c r="AG73" s="3">
        <v>1</v>
      </c>
      <c r="AH73" s="3">
        <v>0</v>
      </c>
      <c r="AI73" s="3">
        <v>0</v>
      </c>
      <c r="AJ73" s="3">
        <v>1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1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 t="s">
        <v>303</v>
      </c>
      <c r="BE73" s="7"/>
    </row>
    <row r="74" spans="1:57">
      <c r="A74" s="3" t="s">
        <v>62</v>
      </c>
      <c r="B74" s="3" t="s">
        <v>291</v>
      </c>
      <c r="C74" s="3" t="s">
        <v>292</v>
      </c>
      <c r="D74" s="3" t="s">
        <v>188</v>
      </c>
      <c r="E74" s="4">
        <v>45908</v>
      </c>
      <c r="F74" s="3" t="s">
        <v>66</v>
      </c>
      <c r="G74" s="3" t="s">
        <v>293</v>
      </c>
      <c r="H74" s="5" t="s">
        <v>294</v>
      </c>
      <c r="I74" s="5" t="s">
        <v>295</v>
      </c>
      <c r="J74" s="5" t="s">
        <v>70</v>
      </c>
      <c r="K74" s="1">
        <v>11576</v>
      </c>
      <c r="L74" s="3" t="s">
        <v>296</v>
      </c>
      <c r="M74" s="3" t="s">
        <v>297</v>
      </c>
      <c r="N74" s="3">
        <v>7</v>
      </c>
      <c r="O74" s="3" t="s">
        <v>304</v>
      </c>
      <c r="P74" s="3">
        <v>105</v>
      </c>
      <c r="Q74" s="3">
        <v>105</v>
      </c>
      <c r="R74" s="3" t="s">
        <v>74</v>
      </c>
      <c r="S74" s="3">
        <v>1</v>
      </c>
      <c r="T74" s="3">
        <v>1</v>
      </c>
      <c r="U74" s="3">
        <v>0</v>
      </c>
      <c r="V74" s="3" t="s">
        <v>75</v>
      </c>
      <c r="W74" s="3">
        <v>0</v>
      </c>
      <c r="X74" s="3">
        <v>1</v>
      </c>
      <c r="Y74" s="3">
        <v>0</v>
      </c>
      <c r="Z74" s="3">
        <v>10</v>
      </c>
      <c r="AA74" s="17">
        <f>SUM((AB74),(AC74*(2/3)),(AD74*(1/2)))</f>
        <v>12.333333333333332</v>
      </c>
      <c r="AB74" s="3">
        <v>7</v>
      </c>
      <c r="AC74" s="3">
        <v>8</v>
      </c>
      <c r="AD74" s="3">
        <v>0</v>
      </c>
      <c r="AE74" s="3" t="s">
        <v>76</v>
      </c>
      <c r="AF74" s="3">
        <v>2</v>
      </c>
      <c r="AG74" s="3">
        <v>1</v>
      </c>
      <c r="AH74" s="3">
        <v>0</v>
      </c>
      <c r="AI74" s="3">
        <v>0</v>
      </c>
      <c r="AJ74" s="3">
        <v>1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1</v>
      </c>
      <c r="AR74" s="3">
        <v>1</v>
      </c>
      <c r="AS74" s="3">
        <v>1</v>
      </c>
      <c r="AT74" s="3">
        <v>1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 t="s">
        <v>305</v>
      </c>
      <c r="BE74" s="7"/>
    </row>
    <row r="75" spans="1:57">
      <c r="A75" s="3" t="s">
        <v>62</v>
      </c>
      <c r="B75" s="12" t="s">
        <v>306</v>
      </c>
      <c r="C75" s="3" t="s">
        <v>307</v>
      </c>
      <c r="D75" s="3" t="s">
        <v>65</v>
      </c>
      <c r="E75" s="4">
        <v>45910</v>
      </c>
      <c r="F75" s="3" t="s">
        <v>66</v>
      </c>
      <c r="G75" s="3" t="s">
        <v>308</v>
      </c>
      <c r="H75" s="5"/>
      <c r="I75" s="5"/>
      <c r="J75" s="5"/>
      <c r="K75" s="1"/>
      <c r="L75" s="3" t="s">
        <v>309</v>
      </c>
      <c r="M75" s="3" t="s">
        <v>310</v>
      </c>
      <c r="N75" s="3">
        <v>18</v>
      </c>
      <c r="O75" s="3" t="s">
        <v>311</v>
      </c>
      <c r="P75" s="3">
        <v>222</v>
      </c>
      <c r="Q75" s="3">
        <v>222</v>
      </c>
      <c r="R75" s="3" t="s">
        <v>74</v>
      </c>
      <c r="S75" s="3">
        <v>1</v>
      </c>
      <c r="T75" s="3">
        <v>2</v>
      </c>
      <c r="U75" s="3">
        <v>0</v>
      </c>
      <c r="V75" s="3" t="s">
        <v>75</v>
      </c>
      <c r="W75" s="3">
        <v>0</v>
      </c>
      <c r="X75" s="3">
        <v>0</v>
      </c>
      <c r="Y75" s="3">
        <v>0</v>
      </c>
      <c r="Z75" s="3">
        <v>10</v>
      </c>
      <c r="AA75" s="17">
        <f>SUM((AB75),(AC75*(2/3)),(AD75*(1/2)))</f>
        <v>12.666666666666666</v>
      </c>
      <c r="AB75" s="3">
        <v>7</v>
      </c>
      <c r="AC75" s="3">
        <v>8.5</v>
      </c>
      <c r="AD75" s="3">
        <v>0</v>
      </c>
      <c r="AE75" s="3" t="s">
        <v>76</v>
      </c>
      <c r="AF75" s="3">
        <v>4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1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Z75" s="3" t="s">
        <v>312</v>
      </c>
      <c r="BE75" s="7"/>
    </row>
    <row r="76" spans="1:57">
      <c r="A76" s="3" t="s">
        <v>62</v>
      </c>
      <c r="B76" s="12" t="s">
        <v>306</v>
      </c>
      <c r="C76" s="3" t="s">
        <v>307</v>
      </c>
      <c r="D76" s="3" t="s">
        <v>65</v>
      </c>
      <c r="E76" s="4">
        <v>45910</v>
      </c>
      <c r="F76" s="3" t="s">
        <v>66</v>
      </c>
      <c r="G76" s="3" t="s">
        <v>308</v>
      </c>
      <c r="H76" s="5"/>
      <c r="I76" s="5"/>
      <c r="J76" s="5"/>
      <c r="K76" s="1"/>
      <c r="L76" s="3" t="s">
        <v>309</v>
      </c>
      <c r="M76" s="3" t="s">
        <v>310</v>
      </c>
      <c r="N76" s="3">
        <v>18</v>
      </c>
      <c r="O76" s="3" t="s">
        <v>313</v>
      </c>
      <c r="P76" s="3">
        <v>221</v>
      </c>
      <c r="Q76" s="3">
        <v>221</v>
      </c>
      <c r="R76" s="3" t="s">
        <v>74</v>
      </c>
      <c r="S76" s="3">
        <v>1</v>
      </c>
      <c r="T76" s="3">
        <v>1</v>
      </c>
      <c r="U76" s="3">
        <v>0</v>
      </c>
      <c r="V76" s="3" t="s">
        <v>75</v>
      </c>
      <c r="W76" s="3">
        <v>0</v>
      </c>
      <c r="X76" s="3">
        <v>1</v>
      </c>
      <c r="Y76" s="3">
        <v>0</v>
      </c>
      <c r="Z76" s="3">
        <v>10</v>
      </c>
      <c r="AA76" s="17">
        <f>SUM((AB76),(AC76*(2/3)),(AD76*(1/2)))</f>
        <v>19.666666666666664</v>
      </c>
      <c r="AB76" s="3">
        <v>10</v>
      </c>
      <c r="AC76" s="3">
        <v>14.5</v>
      </c>
      <c r="AD76" s="3">
        <v>0</v>
      </c>
      <c r="AE76" s="3" t="s">
        <v>228</v>
      </c>
      <c r="AF76" s="3">
        <v>3.5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1</v>
      </c>
      <c r="AW76" s="3">
        <v>0</v>
      </c>
      <c r="AX76" s="3">
        <v>0</v>
      </c>
      <c r="AY76" s="3">
        <v>1</v>
      </c>
      <c r="AZ76" s="3" t="s">
        <v>314</v>
      </c>
      <c r="BE76" s="7"/>
    </row>
    <row r="77" spans="1:57">
      <c r="A77" s="3" t="s">
        <v>62</v>
      </c>
      <c r="B77" s="12" t="s">
        <v>306</v>
      </c>
      <c r="C77" s="3" t="s">
        <v>307</v>
      </c>
      <c r="D77" s="3" t="s">
        <v>65</v>
      </c>
      <c r="E77" s="4">
        <v>45910</v>
      </c>
      <c r="F77" s="3" t="s">
        <v>66</v>
      </c>
      <c r="G77" s="3" t="s">
        <v>308</v>
      </c>
      <c r="H77" s="5"/>
      <c r="I77" s="5"/>
      <c r="J77" s="5"/>
      <c r="K77" s="1"/>
      <c r="L77" s="3" t="s">
        <v>309</v>
      </c>
      <c r="M77" s="3" t="s">
        <v>310</v>
      </c>
      <c r="N77" s="3">
        <v>18</v>
      </c>
      <c r="O77" s="3" t="s">
        <v>315</v>
      </c>
      <c r="P77" s="3">
        <v>223</v>
      </c>
      <c r="Q77" s="3">
        <v>223</v>
      </c>
      <c r="R77" s="3" t="s">
        <v>74</v>
      </c>
      <c r="S77" s="3">
        <v>1</v>
      </c>
      <c r="U77" s="3">
        <v>0</v>
      </c>
      <c r="V77" s="3" t="s">
        <v>75</v>
      </c>
      <c r="W77" s="3">
        <v>0</v>
      </c>
      <c r="X77" s="3">
        <v>0</v>
      </c>
      <c r="Y77" s="3">
        <v>0</v>
      </c>
      <c r="Z77" s="3">
        <v>10</v>
      </c>
      <c r="AA77" s="17">
        <f>SUM((AB77),(AC77*(2/3)),(AD77*(1/2)))</f>
        <v>13.666666666666666</v>
      </c>
      <c r="AB77" s="3">
        <v>7</v>
      </c>
      <c r="AC77" s="3">
        <v>10</v>
      </c>
      <c r="AD77" s="3">
        <v>0</v>
      </c>
      <c r="AE77" s="3" t="s">
        <v>228</v>
      </c>
      <c r="AF77" s="3">
        <v>2.5</v>
      </c>
      <c r="AG77" s="3">
        <v>0</v>
      </c>
      <c r="AH77" s="3">
        <v>0</v>
      </c>
      <c r="AI77" s="3">
        <v>0</v>
      </c>
      <c r="AJ77" s="3">
        <v>1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 t="s">
        <v>179</v>
      </c>
      <c r="BE77" s="7"/>
    </row>
    <row r="78" spans="1:57">
      <c r="A78" s="3" t="s">
        <v>62</v>
      </c>
      <c r="B78" s="12" t="s">
        <v>306</v>
      </c>
      <c r="C78" s="3" t="s">
        <v>307</v>
      </c>
      <c r="D78" s="3" t="s">
        <v>65</v>
      </c>
      <c r="E78" s="4">
        <v>45910</v>
      </c>
      <c r="F78" s="3" t="s">
        <v>66</v>
      </c>
      <c r="G78" s="3" t="s">
        <v>308</v>
      </c>
      <c r="H78" s="5"/>
      <c r="I78" s="5"/>
      <c r="J78" s="5"/>
      <c r="K78" s="1"/>
      <c r="L78" s="3" t="s">
        <v>309</v>
      </c>
      <c r="M78" s="3" t="s">
        <v>310</v>
      </c>
      <c r="N78" s="3">
        <v>18</v>
      </c>
      <c r="O78" s="3" t="s">
        <v>316</v>
      </c>
      <c r="P78" s="3">
        <v>224</v>
      </c>
      <c r="Q78" s="3">
        <v>224</v>
      </c>
      <c r="R78" s="3" t="s">
        <v>74</v>
      </c>
      <c r="S78" s="3">
        <v>1</v>
      </c>
      <c r="T78" s="3">
        <v>1</v>
      </c>
      <c r="U78" s="3">
        <v>0</v>
      </c>
      <c r="V78" s="3" t="s">
        <v>75</v>
      </c>
      <c r="W78" s="3">
        <v>0</v>
      </c>
      <c r="X78" s="3">
        <v>1</v>
      </c>
      <c r="Y78" s="3">
        <v>0</v>
      </c>
      <c r="Z78" s="3">
        <v>10</v>
      </c>
      <c r="AA78" s="17">
        <f>SUM((AB78),(AC78*(2/3)),(AD78*(1/2)))</f>
        <v>19.333333333333332</v>
      </c>
      <c r="AB78" s="3">
        <v>10</v>
      </c>
      <c r="AC78" s="3">
        <v>14</v>
      </c>
      <c r="AD78" s="3">
        <v>0</v>
      </c>
      <c r="AE78" s="3" t="s">
        <v>228</v>
      </c>
      <c r="AF78" s="3">
        <v>2.5</v>
      </c>
      <c r="AG78" s="3">
        <v>0</v>
      </c>
      <c r="AH78" s="3">
        <v>0</v>
      </c>
      <c r="AI78" s="3">
        <v>0</v>
      </c>
      <c r="AJ78" s="3">
        <v>1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1</v>
      </c>
      <c r="AW78" s="3">
        <v>0</v>
      </c>
      <c r="AX78" s="3">
        <v>0</v>
      </c>
      <c r="AY78" s="3">
        <v>0</v>
      </c>
      <c r="AZ78" s="3">
        <v>0</v>
      </c>
      <c r="BE78" s="7"/>
    </row>
    <row r="79" spans="1:57">
      <c r="A79" s="3" t="s">
        <v>62</v>
      </c>
      <c r="B79" s="1" t="s">
        <v>317</v>
      </c>
      <c r="C79" s="1" t="s">
        <v>318</v>
      </c>
      <c r="D79" s="3" t="s">
        <v>65</v>
      </c>
      <c r="E79" s="8">
        <v>45918</v>
      </c>
      <c r="F79" s="1" t="s">
        <v>66</v>
      </c>
      <c r="G79" s="1" t="s">
        <v>319</v>
      </c>
      <c r="H79" s="1" t="s">
        <v>320</v>
      </c>
      <c r="I79" s="5" t="s">
        <v>321</v>
      </c>
      <c r="J79" s="5" t="s">
        <v>70</v>
      </c>
      <c r="K79" s="5">
        <v>13118</v>
      </c>
      <c r="L79" s="1" t="s">
        <v>322</v>
      </c>
      <c r="M79" s="1" t="s">
        <v>323</v>
      </c>
      <c r="N79" s="5">
        <v>8</v>
      </c>
      <c r="O79" s="3" t="s">
        <v>324</v>
      </c>
      <c r="P79" s="3">
        <v>205</v>
      </c>
      <c r="Q79" s="3">
        <v>205</v>
      </c>
      <c r="R79" s="3" t="s">
        <v>74</v>
      </c>
      <c r="S79" s="3">
        <v>2</v>
      </c>
      <c r="T79" s="3">
        <v>0</v>
      </c>
      <c r="U79" s="3">
        <v>0</v>
      </c>
      <c r="V79" s="3" t="s">
        <v>75</v>
      </c>
      <c r="W79" s="3">
        <v>0</v>
      </c>
      <c r="X79" s="3">
        <v>1</v>
      </c>
      <c r="Y79" s="3">
        <v>0</v>
      </c>
      <c r="Z79" s="3">
        <v>10</v>
      </c>
      <c r="AA79" s="3">
        <f>SUM(AB79,(AC79*0.67),(AD79*0.5))</f>
        <v>20.190000000000001</v>
      </c>
      <c r="AB79" s="3">
        <v>15.5</v>
      </c>
      <c r="AC79" s="3">
        <v>7</v>
      </c>
      <c r="AD79" s="3">
        <v>0</v>
      </c>
      <c r="AE79" s="3" t="s">
        <v>76</v>
      </c>
      <c r="AF79" s="3">
        <v>3</v>
      </c>
      <c r="AG79" s="3">
        <v>0</v>
      </c>
      <c r="AH79" s="3">
        <v>0</v>
      </c>
      <c r="AI79" s="3">
        <v>0</v>
      </c>
      <c r="AJ79" s="3">
        <v>1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1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 t="s">
        <v>325</v>
      </c>
      <c r="BE79" s="7"/>
    </row>
    <row r="80" spans="1:57">
      <c r="A80" s="3" t="s">
        <v>62</v>
      </c>
      <c r="B80" s="1" t="s">
        <v>317</v>
      </c>
      <c r="C80" s="1" t="s">
        <v>318</v>
      </c>
      <c r="D80" s="3" t="s">
        <v>65</v>
      </c>
      <c r="E80" s="8">
        <v>45918</v>
      </c>
      <c r="F80" s="1" t="s">
        <v>66</v>
      </c>
      <c r="G80" s="1" t="s">
        <v>319</v>
      </c>
      <c r="H80" s="1" t="s">
        <v>320</v>
      </c>
      <c r="I80" s="5" t="s">
        <v>321</v>
      </c>
      <c r="J80" s="5" t="s">
        <v>70</v>
      </c>
      <c r="K80" s="5">
        <v>13118</v>
      </c>
      <c r="L80" s="1" t="s">
        <v>322</v>
      </c>
      <c r="M80" s="1" t="s">
        <v>323</v>
      </c>
      <c r="N80" s="5">
        <v>8</v>
      </c>
      <c r="O80" s="3" t="s">
        <v>326</v>
      </c>
      <c r="P80" s="3">
        <v>206</v>
      </c>
      <c r="Q80" s="3">
        <v>206</v>
      </c>
      <c r="R80" s="3" t="s">
        <v>74</v>
      </c>
      <c r="S80" s="3">
        <v>2</v>
      </c>
      <c r="T80" s="3">
        <v>0</v>
      </c>
      <c r="U80" s="3">
        <v>0</v>
      </c>
      <c r="V80" s="3" t="s">
        <v>75</v>
      </c>
      <c r="W80" s="3">
        <v>0</v>
      </c>
      <c r="X80" s="3">
        <v>1</v>
      </c>
      <c r="Y80" s="3">
        <v>0</v>
      </c>
      <c r="Z80" s="3">
        <v>10</v>
      </c>
      <c r="AA80" s="3">
        <f>SUM(AB80,(AC80*0.67),(AD80*0.5))</f>
        <v>13.67</v>
      </c>
      <c r="AB80" s="3">
        <v>13</v>
      </c>
      <c r="AC80" s="3">
        <v>1</v>
      </c>
      <c r="AD80" s="3">
        <v>0</v>
      </c>
      <c r="AE80" s="3" t="s">
        <v>76</v>
      </c>
      <c r="AF80" s="3">
        <v>3</v>
      </c>
      <c r="AG80" s="3">
        <v>1</v>
      </c>
      <c r="AH80" s="3">
        <v>0</v>
      </c>
      <c r="AI80" s="3">
        <v>0</v>
      </c>
      <c r="AJ80" s="3">
        <v>1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1</v>
      </c>
      <c r="AS80" s="3">
        <v>1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 t="s">
        <v>327</v>
      </c>
      <c r="BE80" s="7"/>
    </row>
    <row r="81" spans="1:57">
      <c r="A81" s="3" t="s">
        <v>62</v>
      </c>
      <c r="B81" s="1" t="s">
        <v>317</v>
      </c>
      <c r="C81" s="1" t="s">
        <v>318</v>
      </c>
      <c r="D81" s="3" t="s">
        <v>65</v>
      </c>
      <c r="E81" s="8">
        <v>45918</v>
      </c>
      <c r="F81" s="1" t="s">
        <v>66</v>
      </c>
      <c r="G81" s="1" t="s">
        <v>319</v>
      </c>
      <c r="H81" s="1" t="s">
        <v>320</v>
      </c>
      <c r="I81" s="5" t="s">
        <v>321</v>
      </c>
      <c r="J81" s="5" t="s">
        <v>70</v>
      </c>
      <c r="K81" s="5">
        <v>13118</v>
      </c>
      <c r="L81" s="1" t="s">
        <v>322</v>
      </c>
      <c r="M81" s="1" t="s">
        <v>323</v>
      </c>
      <c r="N81" s="5">
        <v>8</v>
      </c>
      <c r="O81" s="3" t="s">
        <v>328</v>
      </c>
      <c r="P81" s="3">
        <v>207</v>
      </c>
      <c r="Q81" s="3">
        <v>207</v>
      </c>
      <c r="R81" s="3" t="s">
        <v>74</v>
      </c>
      <c r="S81" s="3">
        <v>2</v>
      </c>
      <c r="T81" s="3">
        <v>0</v>
      </c>
      <c r="U81" s="3">
        <v>0</v>
      </c>
      <c r="V81" s="3" t="s">
        <v>75</v>
      </c>
      <c r="W81" s="3">
        <v>0</v>
      </c>
      <c r="X81" s="3">
        <v>1</v>
      </c>
      <c r="Y81" s="3">
        <v>0</v>
      </c>
      <c r="Z81" s="3">
        <v>10</v>
      </c>
      <c r="AA81" s="3">
        <f>SUM(AB81,(AC81*0.67),(AD81*0.5))</f>
        <v>20.190000000000001</v>
      </c>
      <c r="AB81" s="3">
        <v>15.5</v>
      </c>
      <c r="AC81" s="3">
        <v>7</v>
      </c>
      <c r="AD81" s="3">
        <v>0</v>
      </c>
      <c r="AE81" s="3" t="s">
        <v>76</v>
      </c>
      <c r="AF81" s="3">
        <v>2.5</v>
      </c>
      <c r="AG81" s="3">
        <v>0</v>
      </c>
      <c r="AH81" s="3">
        <v>0</v>
      </c>
      <c r="AI81" s="3">
        <v>0</v>
      </c>
      <c r="AJ81" s="3">
        <v>1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1</v>
      </c>
      <c r="AS81" s="3">
        <v>1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 t="s">
        <v>329</v>
      </c>
      <c r="BE81" s="7"/>
    </row>
    <row r="82" spans="1:57">
      <c r="A82" s="3" t="s">
        <v>62</v>
      </c>
      <c r="B82" s="1" t="s">
        <v>317</v>
      </c>
      <c r="C82" s="1" t="s">
        <v>318</v>
      </c>
      <c r="D82" s="3" t="s">
        <v>65</v>
      </c>
      <c r="E82" s="8">
        <v>45918</v>
      </c>
      <c r="F82" s="1" t="s">
        <v>66</v>
      </c>
      <c r="G82" s="1" t="s">
        <v>319</v>
      </c>
      <c r="H82" s="1" t="s">
        <v>320</v>
      </c>
      <c r="I82" s="5" t="s">
        <v>321</v>
      </c>
      <c r="J82" s="5" t="s">
        <v>70</v>
      </c>
      <c r="K82" s="5">
        <v>13118</v>
      </c>
      <c r="L82" s="1" t="s">
        <v>322</v>
      </c>
      <c r="M82" s="1" t="s">
        <v>323</v>
      </c>
      <c r="N82" s="5">
        <v>8</v>
      </c>
      <c r="O82" s="3" t="s">
        <v>330</v>
      </c>
      <c r="P82" s="3">
        <v>208</v>
      </c>
      <c r="Q82" s="3">
        <v>208</v>
      </c>
      <c r="R82" s="3" t="s">
        <v>74</v>
      </c>
      <c r="S82" s="3">
        <v>2</v>
      </c>
      <c r="T82" s="3">
        <v>0</v>
      </c>
      <c r="U82" s="3">
        <v>0</v>
      </c>
      <c r="V82" s="3" t="s">
        <v>75</v>
      </c>
      <c r="W82" s="3">
        <v>0</v>
      </c>
      <c r="X82" s="3">
        <v>1</v>
      </c>
      <c r="Y82" s="3">
        <v>0</v>
      </c>
      <c r="Z82" s="3">
        <v>8</v>
      </c>
      <c r="AA82" s="3">
        <f>SUM(AB82,(AC82*0.67),(AD82*0.5))</f>
        <v>16.024999999999999</v>
      </c>
      <c r="AB82" s="3">
        <v>11</v>
      </c>
      <c r="AC82" s="3">
        <v>7.5</v>
      </c>
      <c r="AD82" s="3">
        <v>0</v>
      </c>
      <c r="AE82" s="3" t="s">
        <v>76</v>
      </c>
      <c r="AF82" s="3">
        <v>2.5</v>
      </c>
      <c r="AG82" s="3">
        <v>0</v>
      </c>
      <c r="AH82" s="3">
        <v>0</v>
      </c>
      <c r="AI82" s="3">
        <v>0</v>
      </c>
      <c r="AJ82" s="3">
        <v>1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1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 t="s">
        <v>331</v>
      </c>
      <c r="BE82" s="7"/>
    </row>
    <row r="83" spans="1:57">
      <c r="A83" s="3" t="s">
        <v>62</v>
      </c>
      <c r="B83" s="3" t="s">
        <v>332</v>
      </c>
      <c r="C83" s="3" t="s">
        <v>333</v>
      </c>
      <c r="D83" s="3" t="s">
        <v>188</v>
      </c>
      <c r="E83" s="4">
        <v>45909</v>
      </c>
      <c r="F83" s="3" t="s">
        <v>66</v>
      </c>
      <c r="G83" s="3" t="s">
        <v>334</v>
      </c>
      <c r="H83" s="5" t="s">
        <v>335</v>
      </c>
      <c r="I83" s="5" t="s">
        <v>336</v>
      </c>
      <c r="J83" s="5" t="s">
        <v>70</v>
      </c>
      <c r="K83" s="1">
        <v>12583</v>
      </c>
      <c r="L83" s="3" t="s">
        <v>337</v>
      </c>
      <c r="M83" s="3" t="s">
        <v>338</v>
      </c>
      <c r="N83" s="3">
        <v>8</v>
      </c>
      <c r="O83" s="3" t="s">
        <v>339</v>
      </c>
      <c r="P83" s="3">
        <v>113</v>
      </c>
      <c r="Q83" s="3">
        <v>113</v>
      </c>
      <c r="R83" s="3" t="s">
        <v>74</v>
      </c>
      <c r="S83" s="3">
        <v>2</v>
      </c>
      <c r="T83" s="3">
        <v>0</v>
      </c>
      <c r="U83" s="3">
        <v>0</v>
      </c>
      <c r="V83" s="3" t="s">
        <v>66</v>
      </c>
      <c r="W83" s="3">
        <v>0</v>
      </c>
      <c r="X83" s="3">
        <v>0</v>
      </c>
      <c r="Y83" s="3">
        <v>0</v>
      </c>
      <c r="Z83" s="3">
        <v>8</v>
      </c>
      <c r="AA83" s="3">
        <f>SUM(AB83,(AC83*0.67),(AD83*0.5))</f>
        <v>15.5</v>
      </c>
      <c r="AB83" s="3">
        <v>15.5</v>
      </c>
      <c r="AC83" s="3">
        <v>0</v>
      </c>
      <c r="AD83" s="3">
        <v>0</v>
      </c>
      <c r="AE83" s="3" t="s">
        <v>76</v>
      </c>
      <c r="AF83" s="3">
        <v>3.5</v>
      </c>
      <c r="AG83" s="3">
        <v>0</v>
      </c>
      <c r="AH83" s="3">
        <v>0</v>
      </c>
      <c r="AI83" s="3">
        <v>0</v>
      </c>
      <c r="AJ83" s="3">
        <v>1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1</v>
      </c>
      <c r="AW83" s="3">
        <v>0</v>
      </c>
      <c r="AX83" s="3">
        <v>0</v>
      </c>
      <c r="AY83" s="3">
        <v>0</v>
      </c>
      <c r="AZ83" s="3" t="s">
        <v>340</v>
      </c>
      <c r="BE83" s="7"/>
    </row>
    <row r="84" spans="1:57">
      <c r="A84" s="3" t="s">
        <v>62</v>
      </c>
      <c r="B84" s="3" t="s">
        <v>332</v>
      </c>
      <c r="C84" s="3" t="s">
        <v>333</v>
      </c>
      <c r="D84" s="3" t="s">
        <v>188</v>
      </c>
      <c r="E84" s="4">
        <v>45909</v>
      </c>
      <c r="F84" s="3" t="s">
        <v>66</v>
      </c>
      <c r="G84" s="3" t="s">
        <v>334</v>
      </c>
      <c r="H84" s="5" t="s">
        <v>335</v>
      </c>
      <c r="I84" s="5" t="s">
        <v>336</v>
      </c>
      <c r="J84" s="5" t="s">
        <v>70</v>
      </c>
      <c r="K84" s="1">
        <v>12583</v>
      </c>
      <c r="L84" s="3" t="s">
        <v>337</v>
      </c>
      <c r="M84" s="3" t="s">
        <v>338</v>
      </c>
      <c r="N84" s="3">
        <v>8</v>
      </c>
      <c r="O84" s="3" t="s">
        <v>341</v>
      </c>
      <c r="P84" s="3">
        <v>114</v>
      </c>
      <c r="Q84" s="3">
        <v>114</v>
      </c>
      <c r="R84" s="3" t="s">
        <v>74</v>
      </c>
      <c r="S84" s="3">
        <v>2</v>
      </c>
      <c r="T84" s="3">
        <v>0</v>
      </c>
      <c r="U84" s="3">
        <v>0</v>
      </c>
      <c r="V84" s="3" t="s">
        <v>66</v>
      </c>
      <c r="W84" s="3">
        <v>0</v>
      </c>
      <c r="X84" s="3">
        <v>0</v>
      </c>
      <c r="Y84" s="3">
        <v>0</v>
      </c>
      <c r="Z84" s="3">
        <v>8</v>
      </c>
      <c r="AA84" s="3">
        <f>SUM(AB84,(AC84*0.67),(AD84*0.5))</f>
        <v>16</v>
      </c>
      <c r="AB84" s="3">
        <v>16</v>
      </c>
      <c r="AC84" s="3">
        <v>0</v>
      </c>
      <c r="AD84" s="3">
        <v>0</v>
      </c>
      <c r="AE84" s="3" t="s">
        <v>76</v>
      </c>
      <c r="AF84" s="3">
        <v>4.5</v>
      </c>
      <c r="AG84" s="3">
        <v>0</v>
      </c>
      <c r="AH84" s="3">
        <v>0</v>
      </c>
      <c r="AI84" s="3">
        <v>0</v>
      </c>
      <c r="AJ84" s="3">
        <v>1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1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 t="s">
        <v>342</v>
      </c>
      <c r="BE84" s="7"/>
    </row>
    <row r="85" spans="1:57">
      <c r="A85" s="3" t="s">
        <v>62</v>
      </c>
      <c r="B85" s="3" t="s">
        <v>332</v>
      </c>
      <c r="C85" s="3" t="s">
        <v>333</v>
      </c>
      <c r="D85" s="3" t="s">
        <v>188</v>
      </c>
      <c r="E85" s="4">
        <v>45909</v>
      </c>
      <c r="F85" s="3" t="s">
        <v>66</v>
      </c>
      <c r="G85" s="3" t="s">
        <v>334</v>
      </c>
      <c r="H85" s="5" t="s">
        <v>335</v>
      </c>
      <c r="I85" s="5" t="s">
        <v>336</v>
      </c>
      <c r="J85" s="5" t="s">
        <v>70</v>
      </c>
      <c r="K85" s="1">
        <v>12583</v>
      </c>
      <c r="L85" s="3" t="s">
        <v>337</v>
      </c>
      <c r="M85" s="3" t="s">
        <v>338</v>
      </c>
      <c r="N85" s="3">
        <v>8</v>
      </c>
      <c r="O85" s="3" t="s">
        <v>343</v>
      </c>
      <c r="P85" s="3">
        <v>115</v>
      </c>
      <c r="Q85" s="3">
        <v>115</v>
      </c>
      <c r="R85" s="3" t="s">
        <v>74</v>
      </c>
      <c r="S85" s="3">
        <v>1</v>
      </c>
      <c r="T85" s="3">
        <v>2</v>
      </c>
      <c r="U85" s="3">
        <v>0</v>
      </c>
      <c r="V85" s="3" t="s">
        <v>66</v>
      </c>
      <c r="W85" s="3">
        <v>0</v>
      </c>
      <c r="X85" s="3">
        <v>0</v>
      </c>
      <c r="Y85" s="3">
        <v>0</v>
      </c>
      <c r="Z85" s="3">
        <v>8</v>
      </c>
      <c r="AA85" s="3">
        <f>SUM(AB85,(AC85*0.67),(AD85*0.5))</f>
        <v>14.375</v>
      </c>
      <c r="AB85" s="3">
        <v>6</v>
      </c>
      <c r="AC85" s="3">
        <v>12.5</v>
      </c>
      <c r="AD85" s="3">
        <v>0</v>
      </c>
      <c r="AE85" s="3" t="s">
        <v>76</v>
      </c>
      <c r="AF85" s="3">
        <v>4.5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1</v>
      </c>
      <c r="AW85" s="3">
        <v>0</v>
      </c>
      <c r="AX85" s="3">
        <v>0</v>
      </c>
      <c r="AY85" s="3">
        <v>0</v>
      </c>
      <c r="AZ85" s="3">
        <v>0</v>
      </c>
      <c r="BE85" s="7"/>
    </row>
    <row r="86" spans="1:57">
      <c r="A86" s="3" t="s">
        <v>62</v>
      </c>
      <c r="B86" s="3" t="s">
        <v>332</v>
      </c>
      <c r="C86" s="3" t="s">
        <v>333</v>
      </c>
      <c r="D86" s="3" t="s">
        <v>188</v>
      </c>
      <c r="E86" s="4">
        <v>45909</v>
      </c>
      <c r="F86" s="3" t="s">
        <v>66</v>
      </c>
      <c r="G86" s="3" t="s">
        <v>334</v>
      </c>
      <c r="H86" s="5" t="s">
        <v>335</v>
      </c>
      <c r="I86" s="5" t="s">
        <v>336</v>
      </c>
      <c r="J86" s="5" t="s">
        <v>70</v>
      </c>
      <c r="K86" s="1">
        <v>12583</v>
      </c>
      <c r="L86" s="3" t="s">
        <v>337</v>
      </c>
      <c r="M86" s="3" t="s">
        <v>338</v>
      </c>
      <c r="N86" s="3">
        <v>8</v>
      </c>
      <c r="O86" s="3" t="s">
        <v>344</v>
      </c>
      <c r="P86" s="3">
        <v>116</v>
      </c>
      <c r="Q86" s="3">
        <v>116</v>
      </c>
      <c r="R86" s="3" t="s">
        <v>74</v>
      </c>
      <c r="S86" s="3">
        <v>2</v>
      </c>
      <c r="T86" s="3">
        <v>0</v>
      </c>
      <c r="U86" s="3">
        <v>0</v>
      </c>
      <c r="V86" s="3" t="s">
        <v>66</v>
      </c>
      <c r="W86" s="3">
        <v>0</v>
      </c>
      <c r="X86" s="3">
        <v>0</v>
      </c>
      <c r="Y86" s="3">
        <v>0</v>
      </c>
      <c r="Z86" s="3">
        <v>8</v>
      </c>
      <c r="AA86" s="3">
        <f>SUM(AB86,(AC86*0.67),(AD86*0.5))</f>
        <v>12</v>
      </c>
      <c r="AB86" s="3">
        <v>12</v>
      </c>
      <c r="AC86" s="3">
        <v>0</v>
      </c>
      <c r="AD86" s="3">
        <v>0</v>
      </c>
      <c r="AE86" s="3" t="s">
        <v>76</v>
      </c>
      <c r="AF86" s="3">
        <v>4</v>
      </c>
      <c r="AG86" s="3">
        <v>0</v>
      </c>
      <c r="AH86" s="3">
        <v>0</v>
      </c>
      <c r="AI86" s="3">
        <v>0</v>
      </c>
      <c r="AJ86" s="3">
        <v>1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1</v>
      </c>
      <c r="AW86" s="3">
        <v>0</v>
      </c>
      <c r="AX86" s="3">
        <v>0</v>
      </c>
      <c r="AY86" s="3">
        <v>0</v>
      </c>
      <c r="AZ86" s="3" t="s">
        <v>345</v>
      </c>
      <c r="BE86" s="7"/>
    </row>
    <row r="87" spans="1:57">
      <c r="A87" s="3" t="s">
        <v>346</v>
      </c>
      <c r="B87" s="3" t="s">
        <v>347</v>
      </c>
      <c r="C87" s="3" t="s">
        <v>348</v>
      </c>
      <c r="D87" s="3" t="s">
        <v>65</v>
      </c>
      <c r="E87" s="4">
        <v>45907</v>
      </c>
      <c r="F87" s="3" t="s">
        <v>66</v>
      </c>
      <c r="G87" s="3" t="s">
        <v>349</v>
      </c>
      <c r="H87" s="5" t="s">
        <v>350</v>
      </c>
      <c r="I87" s="5" t="s">
        <v>351</v>
      </c>
      <c r="J87" s="5" t="s">
        <v>70</v>
      </c>
      <c r="K87" s="1">
        <v>13108</v>
      </c>
      <c r="L87" s="3" t="s">
        <v>352</v>
      </c>
      <c r="M87" s="3" t="s">
        <v>353</v>
      </c>
      <c r="N87" s="3">
        <v>20</v>
      </c>
      <c r="O87" s="3" t="s">
        <v>354</v>
      </c>
      <c r="P87" s="3">
        <v>241</v>
      </c>
      <c r="Q87" s="3">
        <v>241</v>
      </c>
      <c r="R87" s="3" t="s">
        <v>74</v>
      </c>
      <c r="S87" s="3">
        <v>1</v>
      </c>
      <c r="T87" s="3">
        <v>1</v>
      </c>
      <c r="U87" s="3">
        <v>0</v>
      </c>
      <c r="V87" s="3" t="s">
        <v>75</v>
      </c>
      <c r="W87" s="3">
        <v>0</v>
      </c>
      <c r="X87" s="3">
        <v>2</v>
      </c>
      <c r="Y87" s="3">
        <v>0</v>
      </c>
      <c r="Z87" s="3">
        <v>10</v>
      </c>
      <c r="AA87" s="3">
        <f>SUM(AB87:AD87)</f>
        <v>0</v>
      </c>
      <c r="AB87" s="21"/>
      <c r="AC87" s="21"/>
      <c r="AD87" s="21"/>
      <c r="AE87" s="3" t="s">
        <v>76</v>
      </c>
      <c r="AF87" s="3">
        <v>4.5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1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 t="s">
        <v>355</v>
      </c>
    </row>
    <row r="88" spans="1:57">
      <c r="A88" s="3" t="s">
        <v>346</v>
      </c>
      <c r="B88" s="3" t="s">
        <v>347</v>
      </c>
      <c r="C88" s="3" t="s">
        <v>348</v>
      </c>
      <c r="D88" s="3" t="s">
        <v>65</v>
      </c>
      <c r="E88" s="4">
        <v>45907</v>
      </c>
      <c r="F88" s="3" t="s">
        <v>66</v>
      </c>
      <c r="G88" s="3" t="s">
        <v>349</v>
      </c>
      <c r="H88" s="5" t="s">
        <v>350</v>
      </c>
      <c r="I88" s="5" t="s">
        <v>351</v>
      </c>
      <c r="J88" s="5" t="s">
        <v>70</v>
      </c>
      <c r="K88" s="1">
        <v>13108</v>
      </c>
      <c r="L88" s="3" t="s">
        <v>352</v>
      </c>
      <c r="M88" s="3" t="s">
        <v>353</v>
      </c>
      <c r="N88" s="3">
        <v>20</v>
      </c>
      <c r="O88" s="3" t="s">
        <v>356</v>
      </c>
      <c r="P88" s="3">
        <v>242</v>
      </c>
      <c r="Q88" s="3">
        <v>242</v>
      </c>
      <c r="R88" s="3" t="s">
        <v>74</v>
      </c>
      <c r="S88" s="3">
        <v>1</v>
      </c>
      <c r="T88" s="3">
        <v>1</v>
      </c>
      <c r="U88" s="3">
        <v>0</v>
      </c>
      <c r="V88" s="3" t="s">
        <v>75</v>
      </c>
      <c r="W88" s="3">
        <v>0</v>
      </c>
      <c r="X88" s="3">
        <v>3</v>
      </c>
      <c r="Y88" s="3">
        <v>0</v>
      </c>
      <c r="Z88" s="3">
        <v>10</v>
      </c>
      <c r="AA88" s="3">
        <f t="shared" ref="AA88:AA151" si="0">SUM(AB88:AD88)</f>
        <v>0</v>
      </c>
      <c r="AB88" s="21"/>
      <c r="AC88" s="21"/>
      <c r="AD88" s="21"/>
      <c r="AE88" s="3" t="s">
        <v>76</v>
      </c>
      <c r="AF88" s="3">
        <v>4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1</v>
      </c>
      <c r="AS88" s="3">
        <v>1</v>
      </c>
      <c r="AT88" s="3">
        <v>1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 t="s">
        <v>357</v>
      </c>
    </row>
    <row r="89" spans="1:57">
      <c r="A89" s="3" t="s">
        <v>346</v>
      </c>
      <c r="B89" s="3" t="s">
        <v>347</v>
      </c>
      <c r="C89" s="3" t="s">
        <v>348</v>
      </c>
      <c r="D89" s="3" t="s">
        <v>65</v>
      </c>
      <c r="E89" s="4">
        <v>45907</v>
      </c>
      <c r="F89" s="3" t="s">
        <v>66</v>
      </c>
      <c r="G89" s="3" t="s">
        <v>349</v>
      </c>
      <c r="H89" s="5" t="s">
        <v>350</v>
      </c>
      <c r="I89" s="5" t="s">
        <v>351</v>
      </c>
      <c r="J89" s="5" t="s">
        <v>70</v>
      </c>
      <c r="K89" s="1">
        <v>13108</v>
      </c>
      <c r="L89" s="3" t="s">
        <v>352</v>
      </c>
      <c r="M89" s="3" t="s">
        <v>353</v>
      </c>
      <c r="N89" s="3">
        <v>20</v>
      </c>
      <c r="O89" s="3" t="s">
        <v>358</v>
      </c>
      <c r="P89" s="3">
        <v>243</v>
      </c>
      <c r="Q89" s="3">
        <v>243</v>
      </c>
      <c r="R89" s="3" t="s">
        <v>74</v>
      </c>
      <c r="S89" s="3">
        <v>1</v>
      </c>
      <c r="T89" s="3">
        <v>1</v>
      </c>
      <c r="U89" s="3">
        <v>0</v>
      </c>
      <c r="V89" s="3" t="s">
        <v>75</v>
      </c>
      <c r="W89" s="3">
        <v>0</v>
      </c>
      <c r="X89" s="3">
        <v>2</v>
      </c>
      <c r="Y89" s="3">
        <v>0</v>
      </c>
      <c r="Z89" s="3">
        <v>10</v>
      </c>
      <c r="AA89" s="3">
        <f t="shared" si="0"/>
        <v>0</v>
      </c>
      <c r="AB89" s="21"/>
      <c r="AC89" s="21"/>
      <c r="AD89" s="21"/>
      <c r="AE89" s="3" t="s">
        <v>287</v>
      </c>
      <c r="AF89" s="3">
        <v>4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1</v>
      </c>
      <c r="AS89" s="3">
        <v>1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 t="s">
        <v>359</v>
      </c>
    </row>
    <row r="90" spans="1:57">
      <c r="A90" s="3" t="s">
        <v>346</v>
      </c>
      <c r="B90" s="3" t="s">
        <v>347</v>
      </c>
      <c r="C90" s="3" t="s">
        <v>348</v>
      </c>
      <c r="D90" s="3" t="s">
        <v>65</v>
      </c>
      <c r="E90" s="4">
        <v>45907</v>
      </c>
      <c r="F90" s="3" t="s">
        <v>66</v>
      </c>
      <c r="G90" s="3" t="s">
        <v>349</v>
      </c>
      <c r="H90" s="5" t="s">
        <v>350</v>
      </c>
      <c r="I90" s="5" t="s">
        <v>351</v>
      </c>
      <c r="J90" s="5" t="s">
        <v>70</v>
      </c>
      <c r="K90" s="1">
        <v>13108</v>
      </c>
      <c r="L90" s="3" t="s">
        <v>352</v>
      </c>
      <c r="M90" s="3" t="s">
        <v>353</v>
      </c>
      <c r="N90" s="3">
        <v>20</v>
      </c>
      <c r="O90" s="3" t="s">
        <v>360</v>
      </c>
      <c r="P90" s="3">
        <v>244</v>
      </c>
      <c r="Q90" s="3">
        <v>244</v>
      </c>
      <c r="R90" s="3" t="s">
        <v>74</v>
      </c>
      <c r="S90" s="3">
        <v>1</v>
      </c>
      <c r="T90" s="3">
        <v>1</v>
      </c>
      <c r="U90" s="3">
        <v>0</v>
      </c>
      <c r="V90" s="3" t="s">
        <v>75</v>
      </c>
      <c r="W90" s="3">
        <v>0</v>
      </c>
      <c r="X90" s="3">
        <v>3</v>
      </c>
      <c r="Y90" s="3">
        <v>0</v>
      </c>
      <c r="Z90" s="3">
        <v>10</v>
      </c>
      <c r="AA90" s="3">
        <f t="shared" si="0"/>
        <v>0</v>
      </c>
      <c r="AB90" s="21"/>
      <c r="AC90" s="21"/>
      <c r="AD90" s="21"/>
      <c r="AE90" s="3" t="s">
        <v>287</v>
      </c>
      <c r="AF90" s="3">
        <v>4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1</v>
      </c>
      <c r="AZ90" s="3" t="s">
        <v>361</v>
      </c>
    </row>
    <row r="91" spans="1:57" ht="21">
      <c r="A91" s="3" t="s">
        <v>346</v>
      </c>
      <c r="B91" s="3" t="s">
        <v>362</v>
      </c>
      <c r="C91" s="3" t="s">
        <v>363</v>
      </c>
      <c r="D91" s="3" t="s">
        <v>188</v>
      </c>
      <c r="E91" s="4">
        <v>45907</v>
      </c>
      <c r="F91" s="3" t="s">
        <v>66</v>
      </c>
      <c r="G91" s="13" t="s">
        <v>364</v>
      </c>
      <c r="H91" s="13" t="s">
        <v>365</v>
      </c>
      <c r="I91" s="13" t="s">
        <v>366</v>
      </c>
      <c r="J91" s="13" t="s">
        <v>70</v>
      </c>
      <c r="K91" s="14">
        <v>13116</v>
      </c>
      <c r="L91" s="6">
        <v>43.09572</v>
      </c>
      <c r="M91" s="6">
        <v>75.976230000000001</v>
      </c>
      <c r="N91" s="3">
        <v>5</v>
      </c>
      <c r="O91" s="3" t="s">
        <v>367</v>
      </c>
      <c r="P91" s="3">
        <v>137</v>
      </c>
      <c r="Q91" s="3">
        <v>137</v>
      </c>
      <c r="R91" s="3" t="s">
        <v>74</v>
      </c>
      <c r="S91" s="3">
        <v>2</v>
      </c>
      <c r="T91" s="3">
        <v>0</v>
      </c>
      <c r="U91" s="3">
        <v>0</v>
      </c>
      <c r="V91" s="3" t="s">
        <v>66</v>
      </c>
      <c r="W91" s="3">
        <v>0</v>
      </c>
      <c r="X91" s="3">
        <v>1</v>
      </c>
      <c r="Y91" s="3">
        <v>0</v>
      </c>
      <c r="Z91" s="3">
        <v>8</v>
      </c>
      <c r="AA91" s="3">
        <f t="shared" si="0"/>
        <v>0</v>
      </c>
      <c r="AB91" s="21"/>
      <c r="AC91" s="21"/>
      <c r="AD91" s="21"/>
      <c r="AE91" s="3" t="s">
        <v>287</v>
      </c>
      <c r="AF91" s="3">
        <v>3.5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 t="s">
        <v>368</v>
      </c>
    </row>
    <row r="92" spans="1:57" ht="21">
      <c r="A92" s="3" t="s">
        <v>346</v>
      </c>
      <c r="B92" s="3" t="s">
        <v>362</v>
      </c>
      <c r="C92" s="3" t="s">
        <v>363</v>
      </c>
      <c r="D92" s="3" t="s">
        <v>188</v>
      </c>
      <c r="E92" s="4">
        <v>45907</v>
      </c>
      <c r="F92" s="3" t="s">
        <v>66</v>
      </c>
      <c r="G92" s="13" t="s">
        <v>364</v>
      </c>
      <c r="H92" s="13" t="s">
        <v>365</v>
      </c>
      <c r="I92" s="13" t="s">
        <v>366</v>
      </c>
      <c r="J92" s="13" t="s">
        <v>70</v>
      </c>
      <c r="K92" s="14">
        <v>13116</v>
      </c>
      <c r="L92" s="6">
        <v>43.09572</v>
      </c>
      <c r="M92" s="6">
        <v>75.976230000000001</v>
      </c>
      <c r="N92" s="3">
        <v>5</v>
      </c>
      <c r="O92" s="3" t="s">
        <v>369</v>
      </c>
      <c r="P92" s="3">
        <v>138</v>
      </c>
      <c r="Q92" s="3">
        <v>138</v>
      </c>
      <c r="R92" s="3" t="s">
        <v>74</v>
      </c>
      <c r="S92" s="3">
        <v>2</v>
      </c>
      <c r="T92" s="3">
        <v>1</v>
      </c>
      <c r="U92" s="3">
        <v>0</v>
      </c>
      <c r="V92" s="3" t="s">
        <v>66</v>
      </c>
      <c r="W92" s="3">
        <v>0</v>
      </c>
      <c r="X92" s="3">
        <v>1</v>
      </c>
      <c r="Y92" s="3">
        <v>0</v>
      </c>
      <c r="Z92" s="3">
        <v>8</v>
      </c>
      <c r="AA92" s="3">
        <f t="shared" si="0"/>
        <v>0</v>
      </c>
      <c r="AB92" s="21"/>
      <c r="AC92" s="21"/>
      <c r="AD92" s="21"/>
      <c r="AE92" s="3" t="s">
        <v>76</v>
      </c>
      <c r="AF92" s="3">
        <v>3.5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1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 t="s">
        <v>370</v>
      </c>
    </row>
    <row r="93" spans="1:57" ht="21">
      <c r="A93" s="3" t="s">
        <v>346</v>
      </c>
      <c r="B93" s="3" t="s">
        <v>362</v>
      </c>
      <c r="C93" s="3" t="s">
        <v>363</v>
      </c>
      <c r="D93" s="3" t="s">
        <v>188</v>
      </c>
      <c r="E93" s="4">
        <v>45907</v>
      </c>
      <c r="F93" s="3" t="s">
        <v>66</v>
      </c>
      <c r="G93" s="13" t="s">
        <v>364</v>
      </c>
      <c r="H93" s="13" t="s">
        <v>365</v>
      </c>
      <c r="I93" s="13" t="s">
        <v>366</v>
      </c>
      <c r="J93" s="13" t="s">
        <v>70</v>
      </c>
      <c r="K93" s="14">
        <v>13116</v>
      </c>
      <c r="L93" s="6">
        <v>43.09572</v>
      </c>
      <c r="M93" s="6">
        <v>75.976230000000001</v>
      </c>
      <c r="N93" s="3">
        <v>5</v>
      </c>
      <c r="O93" s="3" t="s">
        <v>371</v>
      </c>
      <c r="P93" s="3">
        <v>139</v>
      </c>
      <c r="Q93" s="3">
        <v>139</v>
      </c>
      <c r="R93" s="3" t="s">
        <v>74</v>
      </c>
      <c r="S93" s="3">
        <v>2</v>
      </c>
      <c r="T93" s="3">
        <v>0</v>
      </c>
      <c r="U93" s="3">
        <v>0</v>
      </c>
      <c r="V93" s="3" t="s">
        <v>66</v>
      </c>
      <c r="W93" s="3">
        <v>0</v>
      </c>
      <c r="X93" s="3">
        <v>1</v>
      </c>
      <c r="Y93" s="3">
        <v>0</v>
      </c>
      <c r="Z93" s="3">
        <v>8</v>
      </c>
      <c r="AA93" s="3">
        <f t="shared" si="0"/>
        <v>0</v>
      </c>
      <c r="AB93" s="21"/>
      <c r="AC93" s="21"/>
      <c r="AD93" s="21"/>
      <c r="AE93" s="3" t="s">
        <v>287</v>
      </c>
      <c r="AF93" s="3">
        <v>4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 t="s">
        <v>372</v>
      </c>
    </row>
    <row r="94" spans="1:57" ht="21">
      <c r="A94" s="3" t="s">
        <v>346</v>
      </c>
      <c r="B94" s="3" t="s">
        <v>362</v>
      </c>
      <c r="C94" s="3" t="s">
        <v>363</v>
      </c>
      <c r="D94" s="3" t="s">
        <v>188</v>
      </c>
      <c r="E94" s="4">
        <v>45907</v>
      </c>
      <c r="F94" s="3" t="s">
        <v>66</v>
      </c>
      <c r="G94" s="13" t="s">
        <v>364</v>
      </c>
      <c r="H94" s="13" t="s">
        <v>365</v>
      </c>
      <c r="I94" s="13" t="s">
        <v>366</v>
      </c>
      <c r="J94" s="13" t="s">
        <v>70</v>
      </c>
      <c r="K94" s="14">
        <v>13116</v>
      </c>
      <c r="L94" s="6">
        <v>43.09572</v>
      </c>
      <c r="M94" s="6">
        <v>75.976230000000001</v>
      </c>
      <c r="N94" s="3">
        <v>5</v>
      </c>
      <c r="O94" s="3" t="s">
        <v>373</v>
      </c>
      <c r="P94" s="3">
        <v>140</v>
      </c>
      <c r="Q94" s="3">
        <v>140</v>
      </c>
      <c r="R94" s="3" t="s">
        <v>74</v>
      </c>
      <c r="S94" s="3">
        <v>2</v>
      </c>
      <c r="T94" s="3">
        <v>0</v>
      </c>
      <c r="U94" s="3">
        <v>0</v>
      </c>
      <c r="V94" s="3" t="s">
        <v>66</v>
      </c>
      <c r="W94" s="3">
        <v>0</v>
      </c>
      <c r="X94" s="3">
        <v>1</v>
      </c>
      <c r="Y94" s="3">
        <v>0</v>
      </c>
      <c r="Z94" s="3">
        <v>8</v>
      </c>
      <c r="AA94" s="3">
        <f t="shared" si="0"/>
        <v>0</v>
      </c>
      <c r="AB94" s="21"/>
      <c r="AC94" s="21"/>
      <c r="AD94" s="21"/>
      <c r="AE94" s="3" t="s">
        <v>76</v>
      </c>
      <c r="AF94" s="3">
        <v>4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 t="s">
        <v>374</v>
      </c>
    </row>
    <row r="95" spans="1:57">
      <c r="A95" s="3" t="s">
        <v>346</v>
      </c>
      <c r="B95" s="3" t="s">
        <v>375</v>
      </c>
      <c r="C95" s="3" t="s">
        <v>376</v>
      </c>
      <c r="D95" s="3" t="s">
        <v>65</v>
      </c>
      <c r="E95" s="4">
        <v>45908</v>
      </c>
      <c r="F95" s="3" t="s">
        <v>66</v>
      </c>
      <c r="G95" s="3" t="s">
        <v>377</v>
      </c>
      <c r="H95" s="3" t="s">
        <v>378</v>
      </c>
      <c r="I95" s="5" t="s">
        <v>379</v>
      </c>
      <c r="J95" s="5" t="s">
        <v>70</v>
      </c>
      <c r="K95" s="1">
        <v>13309</v>
      </c>
      <c r="L95" s="3">
        <v>43.477400000000003</v>
      </c>
      <c r="M95" s="3">
        <v>-75.3245</v>
      </c>
      <c r="N95" s="3">
        <v>37</v>
      </c>
      <c r="O95" s="3" t="s">
        <v>380</v>
      </c>
      <c r="P95" s="3">
        <v>225</v>
      </c>
      <c r="Q95" s="3">
        <v>225</v>
      </c>
      <c r="R95" s="3" t="s">
        <v>74</v>
      </c>
      <c r="S95" s="3">
        <v>1</v>
      </c>
      <c r="T95" s="3">
        <v>0</v>
      </c>
      <c r="U95" s="3">
        <v>0</v>
      </c>
      <c r="V95" s="3" t="s">
        <v>66</v>
      </c>
      <c r="W95" s="3">
        <v>0</v>
      </c>
      <c r="X95" s="3">
        <v>2</v>
      </c>
      <c r="Y95" s="3">
        <v>0</v>
      </c>
      <c r="Z95" s="3">
        <v>15</v>
      </c>
      <c r="AA95" s="3">
        <f t="shared" si="0"/>
        <v>0</v>
      </c>
      <c r="AB95" s="21"/>
      <c r="AC95" s="21"/>
      <c r="AD95" s="21"/>
      <c r="AE95" s="3" t="s">
        <v>287</v>
      </c>
      <c r="AF95" s="3">
        <v>3.5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1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 t="s">
        <v>381</v>
      </c>
    </row>
    <row r="96" spans="1:57">
      <c r="A96" s="3" t="s">
        <v>346</v>
      </c>
      <c r="B96" s="3" t="s">
        <v>375</v>
      </c>
      <c r="C96" s="3" t="s">
        <v>376</v>
      </c>
      <c r="D96" s="3" t="s">
        <v>65</v>
      </c>
      <c r="E96" s="4">
        <v>45908</v>
      </c>
      <c r="F96" s="3" t="s">
        <v>66</v>
      </c>
      <c r="G96" s="3" t="s">
        <v>377</v>
      </c>
      <c r="H96" s="3" t="s">
        <v>378</v>
      </c>
      <c r="I96" s="5" t="s">
        <v>379</v>
      </c>
      <c r="J96" s="5" t="s">
        <v>70</v>
      </c>
      <c r="K96" s="1">
        <v>13309</v>
      </c>
      <c r="L96" s="3">
        <v>43.477400000000003</v>
      </c>
      <c r="M96" s="3">
        <v>-75.3245</v>
      </c>
      <c r="N96" s="3">
        <v>37</v>
      </c>
      <c r="O96" s="3" t="s">
        <v>382</v>
      </c>
      <c r="P96" s="3">
        <v>226</v>
      </c>
      <c r="Q96" s="3">
        <v>226</v>
      </c>
      <c r="R96" s="3" t="s">
        <v>74</v>
      </c>
      <c r="S96" s="3">
        <v>1</v>
      </c>
      <c r="T96" s="3">
        <v>0</v>
      </c>
      <c r="U96" s="3">
        <v>0</v>
      </c>
      <c r="V96" s="3" t="s">
        <v>66</v>
      </c>
      <c r="W96" s="3">
        <v>0</v>
      </c>
      <c r="X96" s="3">
        <v>2</v>
      </c>
      <c r="Y96" s="3">
        <v>0</v>
      </c>
      <c r="Z96" s="3">
        <v>15</v>
      </c>
      <c r="AA96" s="3">
        <f t="shared" si="0"/>
        <v>0</v>
      </c>
      <c r="AB96" s="21"/>
      <c r="AC96" s="21"/>
      <c r="AD96" s="21"/>
      <c r="AE96" s="3" t="s">
        <v>287</v>
      </c>
      <c r="AF96" s="3">
        <v>4.5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1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 t="s">
        <v>383</v>
      </c>
    </row>
    <row r="97" spans="1:52">
      <c r="A97" s="3" t="s">
        <v>346</v>
      </c>
      <c r="B97" s="3" t="s">
        <v>375</v>
      </c>
      <c r="C97" s="3" t="s">
        <v>376</v>
      </c>
      <c r="D97" s="3" t="s">
        <v>65</v>
      </c>
      <c r="E97" s="4">
        <v>45908</v>
      </c>
      <c r="F97" s="3" t="s">
        <v>66</v>
      </c>
      <c r="G97" s="3" t="s">
        <v>377</v>
      </c>
      <c r="H97" s="3" t="s">
        <v>378</v>
      </c>
      <c r="I97" s="5" t="s">
        <v>379</v>
      </c>
      <c r="J97" s="5" t="s">
        <v>70</v>
      </c>
      <c r="K97" s="1">
        <v>13309</v>
      </c>
      <c r="L97" s="3">
        <v>43.477400000000003</v>
      </c>
      <c r="M97" s="3">
        <v>-75.3245</v>
      </c>
      <c r="N97" s="3">
        <v>37</v>
      </c>
      <c r="O97" s="3" t="s">
        <v>384</v>
      </c>
      <c r="P97" s="3">
        <v>227</v>
      </c>
      <c r="Q97" s="3">
        <v>227</v>
      </c>
      <c r="R97" s="3" t="s">
        <v>74</v>
      </c>
      <c r="S97" s="3">
        <v>1</v>
      </c>
      <c r="T97" s="3">
        <v>0</v>
      </c>
      <c r="U97" s="3">
        <v>0</v>
      </c>
      <c r="V97" s="3" t="s">
        <v>66</v>
      </c>
      <c r="W97" s="3">
        <v>0</v>
      </c>
      <c r="X97" s="3">
        <v>2</v>
      </c>
      <c r="Y97" s="3">
        <v>0</v>
      </c>
      <c r="Z97" s="3">
        <v>15</v>
      </c>
      <c r="AA97" s="3">
        <f t="shared" si="0"/>
        <v>0</v>
      </c>
      <c r="AB97" s="21"/>
      <c r="AC97" s="21"/>
      <c r="AD97" s="21"/>
      <c r="AE97" s="3" t="s">
        <v>287</v>
      </c>
      <c r="AF97" s="3">
        <v>3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1</v>
      </c>
      <c r="AZ97" s="3" t="s">
        <v>385</v>
      </c>
    </row>
    <row r="98" spans="1:52">
      <c r="A98" s="3" t="s">
        <v>346</v>
      </c>
      <c r="B98" s="3" t="s">
        <v>375</v>
      </c>
      <c r="C98" s="3" t="s">
        <v>376</v>
      </c>
      <c r="D98" s="3" t="s">
        <v>65</v>
      </c>
      <c r="E98" s="4">
        <v>45908</v>
      </c>
      <c r="F98" s="3" t="s">
        <v>66</v>
      </c>
      <c r="G98" s="3" t="s">
        <v>377</v>
      </c>
      <c r="H98" s="3" t="s">
        <v>378</v>
      </c>
      <c r="I98" s="5" t="s">
        <v>379</v>
      </c>
      <c r="J98" s="5" t="s">
        <v>70</v>
      </c>
      <c r="K98" s="1">
        <v>13309</v>
      </c>
      <c r="L98" s="3">
        <v>43.477400000000003</v>
      </c>
      <c r="M98" s="3">
        <v>-75.3245</v>
      </c>
      <c r="N98" s="3">
        <v>37</v>
      </c>
      <c r="O98" s="3" t="s">
        <v>386</v>
      </c>
      <c r="P98" s="3">
        <v>228</v>
      </c>
      <c r="Q98" s="3">
        <v>228</v>
      </c>
      <c r="R98" s="3" t="s">
        <v>74</v>
      </c>
      <c r="S98" s="3">
        <v>1</v>
      </c>
      <c r="T98" s="3">
        <v>0</v>
      </c>
      <c r="U98" s="3">
        <v>0</v>
      </c>
      <c r="V98" s="3" t="s">
        <v>66</v>
      </c>
      <c r="W98" s="3">
        <v>0</v>
      </c>
      <c r="X98" s="3">
        <v>2</v>
      </c>
      <c r="Y98" s="3">
        <v>0</v>
      </c>
      <c r="Z98" s="3">
        <v>15</v>
      </c>
      <c r="AA98" s="3">
        <f t="shared" si="0"/>
        <v>0</v>
      </c>
      <c r="AB98" s="21"/>
      <c r="AC98" s="21"/>
      <c r="AD98" s="21"/>
      <c r="AE98" s="3" t="s">
        <v>287</v>
      </c>
      <c r="AF98" s="3">
        <v>4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 t="s">
        <v>387</v>
      </c>
    </row>
    <row r="99" spans="1:52">
      <c r="A99" s="3" t="s">
        <v>346</v>
      </c>
      <c r="B99" s="3" t="s">
        <v>388</v>
      </c>
      <c r="C99" s="3" t="s">
        <v>389</v>
      </c>
      <c r="D99" s="3" t="s">
        <v>167</v>
      </c>
      <c r="E99" s="4">
        <v>45908</v>
      </c>
      <c r="F99" s="3" t="s">
        <v>66</v>
      </c>
      <c r="G99" s="3" t="s">
        <v>390</v>
      </c>
      <c r="H99" s="3" t="s">
        <v>391</v>
      </c>
      <c r="I99" s="3" t="s">
        <v>392</v>
      </c>
      <c r="J99" s="3" t="s">
        <v>70</v>
      </c>
      <c r="K99" s="3">
        <v>13637</v>
      </c>
      <c r="L99" s="3">
        <v>44.081629999999997</v>
      </c>
      <c r="M99" s="3">
        <v>-75.768460000000005</v>
      </c>
      <c r="N99" s="3">
        <v>42</v>
      </c>
      <c r="O99" s="3" t="s">
        <v>393</v>
      </c>
      <c r="P99" s="3">
        <v>360</v>
      </c>
      <c r="Q99" s="3">
        <v>360</v>
      </c>
      <c r="R99" s="28" t="s">
        <v>74</v>
      </c>
      <c r="S99" s="3">
        <v>2</v>
      </c>
      <c r="T99" s="3">
        <v>0</v>
      </c>
      <c r="U99" s="3">
        <v>0</v>
      </c>
      <c r="V99" s="3" t="s">
        <v>75</v>
      </c>
      <c r="W99" s="3">
        <v>0</v>
      </c>
      <c r="X99" s="3">
        <v>2</v>
      </c>
      <c r="Y99" s="3">
        <v>0</v>
      </c>
      <c r="Z99" s="3">
        <v>10</v>
      </c>
      <c r="AA99" s="3">
        <f t="shared" si="0"/>
        <v>0</v>
      </c>
      <c r="AB99" s="21"/>
      <c r="AC99" s="21"/>
      <c r="AD99" s="21"/>
      <c r="AE99" s="3" t="s">
        <v>76</v>
      </c>
      <c r="AF99" s="3">
        <v>3.5</v>
      </c>
      <c r="AG99" s="3">
        <v>1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 t="s">
        <v>394</v>
      </c>
    </row>
    <row r="100" spans="1:52">
      <c r="A100" s="3" t="s">
        <v>346</v>
      </c>
      <c r="B100" s="3" t="s">
        <v>388</v>
      </c>
      <c r="C100" s="3" t="s">
        <v>389</v>
      </c>
      <c r="D100" s="3" t="s">
        <v>167</v>
      </c>
      <c r="E100" s="4">
        <v>45908</v>
      </c>
      <c r="F100" s="3" t="s">
        <v>66</v>
      </c>
      <c r="G100" s="3" t="s">
        <v>390</v>
      </c>
      <c r="H100" s="3" t="s">
        <v>391</v>
      </c>
      <c r="I100" s="3" t="s">
        <v>392</v>
      </c>
      <c r="J100" s="3" t="s">
        <v>70</v>
      </c>
      <c r="K100" s="3">
        <v>13637</v>
      </c>
      <c r="L100" s="3">
        <v>44.081629999999997</v>
      </c>
      <c r="M100" s="3">
        <v>-75.768460000000005</v>
      </c>
      <c r="N100" s="3">
        <v>42</v>
      </c>
      <c r="O100" s="3" t="s">
        <v>395</v>
      </c>
      <c r="P100" s="3">
        <v>361</v>
      </c>
      <c r="Q100" s="3">
        <v>361</v>
      </c>
      <c r="R100" s="28" t="s">
        <v>74</v>
      </c>
      <c r="S100" s="3">
        <v>2</v>
      </c>
      <c r="T100" s="3">
        <v>0</v>
      </c>
      <c r="U100" s="3">
        <v>0</v>
      </c>
      <c r="V100" s="3" t="s">
        <v>75</v>
      </c>
      <c r="W100" s="3">
        <v>0</v>
      </c>
      <c r="X100" s="3">
        <v>1</v>
      </c>
      <c r="Y100" s="3">
        <v>0</v>
      </c>
      <c r="Z100" s="3">
        <v>10</v>
      </c>
      <c r="AA100" s="3">
        <f t="shared" si="0"/>
        <v>0</v>
      </c>
      <c r="AB100" s="21"/>
      <c r="AC100" s="21"/>
      <c r="AD100" s="21"/>
      <c r="AE100" s="3" t="s">
        <v>287</v>
      </c>
      <c r="AF100" s="3">
        <v>3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 t="s">
        <v>396</v>
      </c>
    </row>
    <row r="101" spans="1:52">
      <c r="A101" s="3" t="s">
        <v>346</v>
      </c>
      <c r="B101" s="3" t="s">
        <v>388</v>
      </c>
      <c r="C101" s="3" t="s">
        <v>389</v>
      </c>
      <c r="D101" s="3" t="s">
        <v>167</v>
      </c>
      <c r="E101" s="4">
        <v>45908</v>
      </c>
      <c r="F101" s="3" t="s">
        <v>66</v>
      </c>
      <c r="G101" s="3" t="s">
        <v>390</v>
      </c>
      <c r="H101" s="3" t="s">
        <v>391</v>
      </c>
      <c r="I101" s="3" t="s">
        <v>392</v>
      </c>
      <c r="J101" s="3" t="s">
        <v>70</v>
      </c>
      <c r="K101" s="3">
        <v>13637</v>
      </c>
      <c r="L101" s="3">
        <v>44.081629999999997</v>
      </c>
      <c r="M101" s="3">
        <v>-75.768460000000005</v>
      </c>
      <c r="N101" s="3">
        <v>42</v>
      </c>
      <c r="O101" s="3" t="s">
        <v>397</v>
      </c>
      <c r="P101" s="3">
        <v>362</v>
      </c>
      <c r="Q101" s="3">
        <v>362</v>
      </c>
      <c r="R101" s="28" t="s">
        <v>74</v>
      </c>
      <c r="S101" s="3">
        <v>2</v>
      </c>
      <c r="T101" s="3">
        <v>0</v>
      </c>
      <c r="U101" s="3">
        <v>0</v>
      </c>
      <c r="V101" s="3" t="s">
        <v>75</v>
      </c>
      <c r="W101" s="3">
        <v>0</v>
      </c>
      <c r="X101" s="3">
        <v>2</v>
      </c>
      <c r="Y101" s="3">
        <v>0</v>
      </c>
      <c r="Z101" s="3">
        <v>10</v>
      </c>
      <c r="AA101" s="3">
        <f t="shared" si="0"/>
        <v>0</v>
      </c>
      <c r="AB101" s="21"/>
      <c r="AC101" s="21"/>
      <c r="AD101" s="21"/>
      <c r="AE101" s="3" t="s">
        <v>76</v>
      </c>
      <c r="AF101" s="3">
        <v>3.5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1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1</v>
      </c>
      <c r="AZ101" s="3" t="s">
        <v>398</v>
      </c>
    </row>
    <row r="102" spans="1:52">
      <c r="A102" s="3" t="s">
        <v>346</v>
      </c>
      <c r="B102" s="3" t="s">
        <v>388</v>
      </c>
      <c r="C102" s="3" t="s">
        <v>389</v>
      </c>
      <c r="D102" s="3" t="s">
        <v>167</v>
      </c>
      <c r="E102" s="4">
        <v>45908</v>
      </c>
      <c r="F102" s="3" t="s">
        <v>66</v>
      </c>
      <c r="G102" s="3" t="s">
        <v>390</v>
      </c>
      <c r="H102" s="3" t="s">
        <v>391</v>
      </c>
      <c r="I102" s="3" t="s">
        <v>392</v>
      </c>
      <c r="J102" s="3" t="s">
        <v>70</v>
      </c>
      <c r="K102" s="3">
        <v>13637</v>
      </c>
      <c r="L102" s="3">
        <v>44.081629999999997</v>
      </c>
      <c r="M102" s="3">
        <v>-75.768460000000005</v>
      </c>
      <c r="N102" s="3">
        <v>42</v>
      </c>
      <c r="O102" s="3" t="s">
        <v>399</v>
      </c>
      <c r="P102" s="3">
        <v>363</v>
      </c>
      <c r="Q102" s="3">
        <v>363</v>
      </c>
      <c r="R102" s="28" t="s">
        <v>74</v>
      </c>
      <c r="S102" s="3">
        <v>0</v>
      </c>
      <c r="T102" s="3">
        <v>0</v>
      </c>
      <c r="U102" s="3">
        <v>0</v>
      </c>
      <c r="V102" s="3" t="s">
        <v>75</v>
      </c>
      <c r="W102" s="3">
        <v>2</v>
      </c>
      <c r="X102" s="3">
        <v>0</v>
      </c>
      <c r="Y102" s="3">
        <v>0</v>
      </c>
      <c r="Z102" s="3">
        <v>10</v>
      </c>
      <c r="AA102" s="3">
        <f t="shared" si="0"/>
        <v>0</v>
      </c>
      <c r="AB102" s="21"/>
      <c r="AC102" s="21"/>
      <c r="AD102" s="21"/>
      <c r="AE102" s="3" t="s">
        <v>287</v>
      </c>
      <c r="AF102" s="3">
        <v>4.5</v>
      </c>
      <c r="AG102" s="3">
        <v>1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1</v>
      </c>
      <c r="AT102" s="3">
        <v>1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 t="s">
        <v>400</v>
      </c>
    </row>
    <row r="103" spans="1:52">
      <c r="A103" s="3" t="s">
        <v>346</v>
      </c>
      <c r="B103" s="3" t="s">
        <v>388</v>
      </c>
      <c r="C103" s="3" t="s">
        <v>389</v>
      </c>
      <c r="D103" s="3" t="s">
        <v>167</v>
      </c>
      <c r="E103" s="4">
        <v>45908</v>
      </c>
      <c r="F103" s="3" t="s">
        <v>66</v>
      </c>
      <c r="G103" s="3" t="s">
        <v>390</v>
      </c>
      <c r="H103" s="3" t="s">
        <v>391</v>
      </c>
      <c r="I103" s="3" t="s">
        <v>392</v>
      </c>
      <c r="J103" s="3" t="s">
        <v>70</v>
      </c>
      <c r="K103" s="3">
        <v>13637</v>
      </c>
      <c r="L103" s="3">
        <v>44.081629999999997</v>
      </c>
      <c r="M103" s="3">
        <v>-75.768460000000005</v>
      </c>
      <c r="N103" s="3">
        <v>42</v>
      </c>
      <c r="O103" s="3" t="s">
        <v>401</v>
      </c>
      <c r="P103" s="21">
        <v>364</v>
      </c>
      <c r="Q103" s="21">
        <v>364</v>
      </c>
      <c r="R103" s="28" t="s">
        <v>74</v>
      </c>
      <c r="S103" s="3">
        <v>2</v>
      </c>
      <c r="T103" s="3">
        <v>0</v>
      </c>
      <c r="U103" s="3">
        <v>0</v>
      </c>
      <c r="V103" s="3" t="s">
        <v>75</v>
      </c>
      <c r="W103" s="3">
        <v>0</v>
      </c>
      <c r="X103" s="3">
        <v>2</v>
      </c>
      <c r="Y103" s="3">
        <v>0</v>
      </c>
      <c r="Z103" s="3">
        <v>10</v>
      </c>
      <c r="AA103" s="3">
        <f t="shared" si="0"/>
        <v>0</v>
      </c>
      <c r="AB103" s="21"/>
      <c r="AC103" s="21"/>
      <c r="AD103" s="21"/>
      <c r="AE103" s="3" t="s">
        <v>287</v>
      </c>
      <c r="AF103" s="3">
        <v>4</v>
      </c>
      <c r="AG103" s="3">
        <v>1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1</v>
      </c>
      <c r="AS103" s="3">
        <v>1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 t="s">
        <v>402</v>
      </c>
    </row>
    <row r="104" spans="1:52">
      <c r="A104" s="3" t="s">
        <v>346</v>
      </c>
      <c r="B104" s="3" t="s">
        <v>388</v>
      </c>
      <c r="C104" s="3" t="s">
        <v>389</v>
      </c>
      <c r="D104" s="3" t="s">
        <v>167</v>
      </c>
      <c r="E104" s="4">
        <v>45908</v>
      </c>
      <c r="F104" s="3" t="s">
        <v>66</v>
      </c>
      <c r="G104" s="3" t="s">
        <v>390</v>
      </c>
      <c r="H104" s="3" t="s">
        <v>391</v>
      </c>
      <c r="I104" s="3" t="s">
        <v>392</v>
      </c>
      <c r="J104" s="3" t="s">
        <v>70</v>
      </c>
      <c r="K104" s="3">
        <v>13637</v>
      </c>
      <c r="L104" s="3">
        <v>44.081629999999997</v>
      </c>
      <c r="M104" s="3">
        <v>-75.768460000000005</v>
      </c>
      <c r="N104" s="3">
        <v>42</v>
      </c>
      <c r="O104" s="3" t="s">
        <v>403</v>
      </c>
      <c r="P104" s="21">
        <v>365</v>
      </c>
      <c r="Q104" s="21">
        <v>365</v>
      </c>
      <c r="R104" s="28" t="s">
        <v>74</v>
      </c>
      <c r="S104" s="3">
        <v>2</v>
      </c>
      <c r="T104" s="3">
        <v>0</v>
      </c>
      <c r="U104" s="3">
        <v>0</v>
      </c>
      <c r="V104" s="3" t="s">
        <v>75</v>
      </c>
      <c r="W104" s="3">
        <v>0</v>
      </c>
      <c r="X104" s="3">
        <v>2</v>
      </c>
      <c r="Y104" s="3">
        <v>0</v>
      </c>
      <c r="Z104" s="28">
        <v>10</v>
      </c>
      <c r="AA104" s="3">
        <f t="shared" si="0"/>
        <v>0</v>
      </c>
      <c r="AB104" s="21"/>
      <c r="AC104" s="21"/>
      <c r="AD104" s="21"/>
      <c r="AE104" s="3" t="s">
        <v>76</v>
      </c>
      <c r="AF104" s="3">
        <v>4</v>
      </c>
      <c r="AG104" s="3">
        <v>1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1</v>
      </c>
      <c r="AS104" s="3">
        <v>1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 t="s">
        <v>404</v>
      </c>
    </row>
    <row r="105" spans="1:52">
      <c r="A105" s="3" t="s">
        <v>346</v>
      </c>
      <c r="B105" s="3" t="s">
        <v>388</v>
      </c>
      <c r="C105" s="3" t="s">
        <v>389</v>
      </c>
      <c r="D105" s="3" t="s">
        <v>167</v>
      </c>
      <c r="E105" s="4">
        <v>45908</v>
      </c>
      <c r="F105" s="3" t="s">
        <v>66</v>
      </c>
      <c r="G105" s="3" t="s">
        <v>390</v>
      </c>
      <c r="H105" s="3" t="s">
        <v>391</v>
      </c>
      <c r="I105" s="3" t="s">
        <v>392</v>
      </c>
      <c r="J105" s="3" t="s">
        <v>70</v>
      </c>
      <c r="K105" s="3">
        <v>13637</v>
      </c>
      <c r="L105" s="3">
        <v>44.081629999999997</v>
      </c>
      <c r="M105" s="3">
        <v>-75.768460000000005</v>
      </c>
      <c r="N105" s="3">
        <v>42</v>
      </c>
      <c r="O105" s="3" t="s">
        <v>405</v>
      </c>
      <c r="P105" s="21">
        <v>366</v>
      </c>
      <c r="Q105" s="21">
        <v>366</v>
      </c>
      <c r="R105" s="28" t="s">
        <v>74</v>
      </c>
      <c r="S105" s="3">
        <v>2</v>
      </c>
      <c r="T105" s="3">
        <v>0</v>
      </c>
      <c r="U105" s="3">
        <v>0</v>
      </c>
      <c r="V105" s="3" t="s">
        <v>75</v>
      </c>
      <c r="W105" s="3">
        <v>0</v>
      </c>
      <c r="X105" s="3">
        <v>1</v>
      </c>
      <c r="Y105" s="3">
        <v>0</v>
      </c>
      <c r="Z105" s="28">
        <v>10</v>
      </c>
      <c r="AA105" s="3">
        <f t="shared" si="0"/>
        <v>0</v>
      </c>
      <c r="AB105" s="21"/>
      <c r="AC105" s="21"/>
      <c r="AD105" s="21"/>
      <c r="AE105" s="3" t="s">
        <v>76</v>
      </c>
      <c r="AF105" s="3">
        <v>3.5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 t="s">
        <v>406</v>
      </c>
    </row>
    <row r="106" spans="1:52">
      <c r="A106" s="3" t="s">
        <v>346</v>
      </c>
      <c r="B106" s="3" t="s">
        <v>388</v>
      </c>
      <c r="C106" s="3" t="s">
        <v>389</v>
      </c>
      <c r="D106" s="3" t="s">
        <v>167</v>
      </c>
      <c r="E106" s="4">
        <v>45908</v>
      </c>
      <c r="F106" s="3" t="s">
        <v>66</v>
      </c>
      <c r="G106" s="3" t="s">
        <v>390</v>
      </c>
      <c r="H106" s="3" t="s">
        <v>391</v>
      </c>
      <c r="I106" s="3" t="s">
        <v>392</v>
      </c>
      <c r="J106" s="3" t="s">
        <v>70</v>
      </c>
      <c r="K106" s="3">
        <v>13637</v>
      </c>
      <c r="L106" s="3">
        <v>44.081629999999997</v>
      </c>
      <c r="M106" s="3">
        <v>-75.768460000000005</v>
      </c>
      <c r="N106" s="3">
        <v>42</v>
      </c>
      <c r="O106" s="3" t="s">
        <v>407</v>
      </c>
      <c r="P106" s="21">
        <v>367</v>
      </c>
      <c r="Q106" s="21">
        <v>367</v>
      </c>
      <c r="R106" s="28" t="s">
        <v>74</v>
      </c>
      <c r="S106" s="3">
        <v>2</v>
      </c>
      <c r="T106" s="3">
        <v>0</v>
      </c>
      <c r="U106" s="3">
        <v>0</v>
      </c>
      <c r="V106" s="3" t="s">
        <v>75</v>
      </c>
      <c r="W106" s="3">
        <v>0</v>
      </c>
      <c r="X106" s="3">
        <v>2</v>
      </c>
      <c r="Y106" s="3">
        <v>0</v>
      </c>
      <c r="Z106" s="28">
        <v>10</v>
      </c>
      <c r="AA106" s="3">
        <f t="shared" si="0"/>
        <v>0</v>
      </c>
      <c r="AB106" s="21"/>
      <c r="AC106" s="21"/>
      <c r="AD106" s="21"/>
      <c r="AE106" s="3" t="s">
        <v>76</v>
      </c>
      <c r="AF106" s="3">
        <v>3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1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 t="s">
        <v>406</v>
      </c>
    </row>
    <row r="107" spans="1:52">
      <c r="A107" s="3" t="s">
        <v>346</v>
      </c>
      <c r="B107" s="3" t="s">
        <v>388</v>
      </c>
      <c r="C107" s="3" t="s">
        <v>389</v>
      </c>
      <c r="D107" s="3" t="s">
        <v>167</v>
      </c>
      <c r="E107" s="4">
        <v>45908</v>
      </c>
      <c r="F107" s="3" t="s">
        <v>66</v>
      </c>
      <c r="G107" s="3" t="s">
        <v>390</v>
      </c>
      <c r="H107" s="3" t="s">
        <v>391</v>
      </c>
      <c r="I107" s="3" t="s">
        <v>392</v>
      </c>
      <c r="J107" s="3" t="s">
        <v>70</v>
      </c>
      <c r="K107" s="3">
        <v>13637</v>
      </c>
      <c r="L107" s="3">
        <v>44.081629999999997</v>
      </c>
      <c r="M107" s="3">
        <v>-75.768460000000005</v>
      </c>
      <c r="N107" s="3">
        <v>42</v>
      </c>
      <c r="O107" s="3" t="s">
        <v>408</v>
      </c>
      <c r="P107" s="21">
        <v>368</v>
      </c>
      <c r="Q107" s="21">
        <v>368</v>
      </c>
      <c r="R107" s="28" t="s">
        <v>74</v>
      </c>
      <c r="S107" s="3">
        <v>2</v>
      </c>
      <c r="T107" s="3">
        <v>0</v>
      </c>
      <c r="U107" s="3">
        <v>0</v>
      </c>
      <c r="V107" s="3" t="s">
        <v>75</v>
      </c>
      <c r="W107" s="3">
        <v>0</v>
      </c>
      <c r="X107" s="3">
        <v>2</v>
      </c>
      <c r="Y107" s="3">
        <v>0</v>
      </c>
      <c r="Z107" s="28">
        <v>10</v>
      </c>
      <c r="AA107" s="3">
        <f t="shared" si="0"/>
        <v>0</v>
      </c>
      <c r="AB107" s="21"/>
      <c r="AC107" s="21"/>
      <c r="AD107" s="21"/>
      <c r="AE107" s="3" t="s">
        <v>287</v>
      </c>
      <c r="AF107" s="3">
        <v>4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1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 t="s">
        <v>409</v>
      </c>
    </row>
    <row r="108" spans="1:52">
      <c r="A108" s="3" t="s">
        <v>346</v>
      </c>
      <c r="B108" s="3" t="s">
        <v>388</v>
      </c>
      <c r="C108" s="3" t="s">
        <v>389</v>
      </c>
      <c r="D108" s="3" t="s">
        <v>167</v>
      </c>
      <c r="E108" s="4">
        <v>45908</v>
      </c>
      <c r="F108" s="3" t="s">
        <v>66</v>
      </c>
      <c r="G108" s="3" t="s">
        <v>390</v>
      </c>
      <c r="H108" s="3" t="s">
        <v>391</v>
      </c>
      <c r="I108" s="3" t="s">
        <v>392</v>
      </c>
      <c r="J108" s="3" t="s">
        <v>70</v>
      </c>
      <c r="K108" s="3">
        <v>13637</v>
      </c>
      <c r="L108" s="3">
        <v>44.081629999999997</v>
      </c>
      <c r="M108" s="3">
        <v>-75.768460000000005</v>
      </c>
      <c r="N108" s="3">
        <v>42</v>
      </c>
      <c r="O108" s="22" t="s">
        <v>410</v>
      </c>
      <c r="P108" s="21">
        <v>369</v>
      </c>
      <c r="Q108" s="21">
        <v>369</v>
      </c>
      <c r="R108" s="28" t="s">
        <v>74</v>
      </c>
      <c r="S108" s="3">
        <v>2</v>
      </c>
      <c r="T108" s="3">
        <v>0</v>
      </c>
      <c r="U108" s="3">
        <v>0</v>
      </c>
      <c r="V108" s="3" t="s">
        <v>75</v>
      </c>
      <c r="W108" s="3">
        <v>0</v>
      </c>
      <c r="X108" s="3">
        <v>2</v>
      </c>
      <c r="Y108" s="3">
        <v>0</v>
      </c>
      <c r="Z108" s="28">
        <v>10</v>
      </c>
      <c r="AA108" s="3">
        <f t="shared" si="0"/>
        <v>0</v>
      </c>
      <c r="AB108" s="21"/>
      <c r="AC108" s="21"/>
      <c r="AD108" s="21"/>
      <c r="AE108" s="3" t="s">
        <v>76</v>
      </c>
      <c r="AF108" s="3">
        <v>3.5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1</v>
      </c>
      <c r="AS108" s="3">
        <v>1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 t="s">
        <v>411</v>
      </c>
    </row>
    <row r="109" spans="1:52">
      <c r="A109" s="3" t="s">
        <v>346</v>
      </c>
      <c r="B109" s="3" t="s">
        <v>388</v>
      </c>
      <c r="C109" s="3" t="s">
        <v>389</v>
      </c>
      <c r="D109" s="3" t="s">
        <v>167</v>
      </c>
      <c r="E109" s="4">
        <v>45908</v>
      </c>
      <c r="F109" s="3" t="s">
        <v>66</v>
      </c>
      <c r="G109" s="3" t="s">
        <v>412</v>
      </c>
      <c r="H109" s="3" t="s">
        <v>413</v>
      </c>
      <c r="I109" s="3" t="s">
        <v>414</v>
      </c>
      <c r="J109" s="3" t="s">
        <v>70</v>
      </c>
      <c r="K109" s="3">
        <v>13673</v>
      </c>
      <c r="L109" s="3">
        <v>44.153300000000002</v>
      </c>
      <c r="M109" s="3">
        <v>-75.670900000000003</v>
      </c>
      <c r="N109" s="3">
        <v>37</v>
      </c>
      <c r="O109" s="3" t="s">
        <v>415</v>
      </c>
      <c r="P109" s="3">
        <v>370</v>
      </c>
      <c r="Q109" s="3">
        <v>370</v>
      </c>
      <c r="R109" s="3" t="s">
        <v>74</v>
      </c>
      <c r="S109" s="3">
        <v>1</v>
      </c>
      <c r="T109" s="3">
        <v>1</v>
      </c>
      <c r="U109" s="3">
        <v>0</v>
      </c>
      <c r="V109" s="3" t="s">
        <v>75</v>
      </c>
      <c r="W109" s="3">
        <v>1</v>
      </c>
      <c r="X109" s="3">
        <v>2</v>
      </c>
      <c r="Y109" s="3">
        <v>0</v>
      </c>
      <c r="Z109" s="3">
        <v>10</v>
      </c>
      <c r="AA109" s="3">
        <f t="shared" si="0"/>
        <v>0</v>
      </c>
      <c r="AB109" s="21"/>
      <c r="AC109" s="21"/>
      <c r="AD109" s="21"/>
      <c r="AE109" s="3" t="s">
        <v>76</v>
      </c>
      <c r="AF109" s="3">
        <v>4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 t="s">
        <v>416</v>
      </c>
    </row>
    <row r="110" spans="1:52">
      <c r="A110" s="3" t="s">
        <v>346</v>
      </c>
      <c r="B110" s="3" t="s">
        <v>388</v>
      </c>
      <c r="C110" s="3" t="s">
        <v>389</v>
      </c>
      <c r="D110" s="3" t="s">
        <v>167</v>
      </c>
      <c r="E110" s="4">
        <v>45908</v>
      </c>
      <c r="F110" s="3" t="s">
        <v>66</v>
      </c>
      <c r="G110" s="3" t="s">
        <v>412</v>
      </c>
      <c r="H110" s="3" t="s">
        <v>417</v>
      </c>
      <c r="I110" s="3" t="s">
        <v>414</v>
      </c>
      <c r="J110" s="3" t="s">
        <v>70</v>
      </c>
      <c r="K110" s="3">
        <v>13673</v>
      </c>
      <c r="L110" s="3">
        <v>44.153300000000002</v>
      </c>
      <c r="M110" s="3">
        <v>-75.670900000000003</v>
      </c>
      <c r="N110" s="3">
        <v>37</v>
      </c>
      <c r="O110" s="22" t="s">
        <v>418</v>
      </c>
      <c r="P110" s="3">
        <v>371</v>
      </c>
      <c r="Q110" s="3">
        <v>371</v>
      </c>
      <c r="R110" s="3" t="s">
        <v>74</v>
      </c>
      <c r="S110" s="3">
        <v>1</v>
      </c>
      <c r="T110" s="3">
        <v>1</v>
      </c>
      <c r="U110" s="3">
        <v>0</v>
      </c>
      <c r="V110" s="3" t="s">
        <v>75</v>
      </c>
      <c r="W110" s="3">
        <v>1</v>
      </c>
      <c r="X110" s="3">
        <v>2</v>
      </c>
      <c r="Y110" s="3">
        <v>0</v>
      </c>
      <c r="Z110" s="3">
        <v>10</v>
      </c>
      <c r="AA110" s="3">
        <f t="shared" si="0"/>
        <v>0</v>
      </c>
      <c r="AB110" s="21"/>
      <c r="AC110" s="21"/>
      <c r="AD110" s="21"/>
      <c r="AE110" s="3" t="s">
        <v>76</v>
      </c>
      <c r="AF110" s="3">
        <v>3.5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1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 t="s">
        <v>419</v>
      </c>
    </row>
    <row r="111" spans="1:52">
      <c r="A111" s="3" t="s">
        <v>346</v>
      </c>
      <c r="B111" s="3" t="s">
        <v>388</v>
      </c>
      <c r="C111" s="3" t="s">
        <v>389</v>
      </c>
      <c r="D111" s="3" t="s">
        <v>167</v>
      </c>
      <c r="E111" s="4">
        <v>45908</v>
      </c>
      <c r="F111" s="3" t="s">
        <v>66</v>
      </c>
      <c r="G111" s="3" t="s">
        <v>412</v>
      </c>
      <c r="H111" s="3" t="s">
        <v>420</v>
      </c>
      <c r="I111" s="3" t="s">
        <v>414</v>
      </c>
      <c r="J111" s="3" t="s">
        <v>70</v>
      </c>
      <c r="K111" s="3">
        <v>13673</v>
      </c>
      <c r="L111" s="3">
        <v>44.153300000000002</v>
      </c>
      <c r="M111" s="3">
        <v>-75.670900000000003</v>
      </c>
      <c r="N111" s="3">
        <v>37</v>
      </c>
      <c r="O111" s="3" t="s">
        <v>421</v>
      </c>
      <c r="P111" s="3">
        <v>327</v>
      </c>
      <c r="Q111" s="3">
        <v>372</v>
      </c>
      <c r="R111" s="3" t="s">
        <v>74</v>
      </c>
      <c r="S111" s="3">
        <v>1</v>
      </c>
      <c r="T111" s="3">
        <v>1</v>
      </c>
      <c r="U111" s="3">
        <v>0</v>
      </c>
      <c r="V111" s="3" t="s">
        <v>75</v>
      </c>
      <c r="W111" s="3">
        <v>0</v>
      </c>
      <c r="X111" s="3">
        <v>2</v>
      </c>
      <c r="Y111" s="3">
        <v>0</v>
      </c>
      <c r="Z111" s="3">
        <v>10</v>
      </c>
      <c r="AA111" s="3">
        <f t="shared" si="0"/>
        <v>0</v>
      </c>
      <c r="AB111" s="21"/>
      <c r="AC111" s="21"/>
      <c r="AD111" s="21"/>
      <c r="AE111" s="3" t="s">
        <v>287</v>
      </c>
      <c r="AF111" s="3">
        <v>3.5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 t="s">
        <v>396</v>
      </c>
    </row>
    <row r="112" spans="1:52">
      <c r="A112" s="3" t="s">
        <v>346</v>
      </c>
      <c r="B112" s="3" t="s">
        <v>388</v>
      </c>
      <c r="C112" s="3" t="s">
        <v>389</v>
      </c>
      <c r="D112" s="3" t="s">
        <v>167</v>
      </c>
      <c r="E112" s="4">
        <v>45908</v>
      </c>
      <c r="F112" s="3" t="s">
        <v>66</v>
      </c>
      <c r="G112" s="3" t="s">
        <v>412</v>
      </c>
      <c r="H112" s="3" t="s">
        <v>422</v>
      </c>
      <c r="I112" s="3" t="s">
        <v>414</v>
      </c>
      <c r="J112" s="3" t="s">
        <v>70</v>
      </c>
      <c r="K112" s="3">
        <v>13673</v>
      </c>
      <c r="L112" s="3">
        <v>44.153300000000002</v>
      </c>
      <c r="M112" s="3">
        <v>-75.670900000000003</v>
      </c>
      <c r="N112" s="3">
        <v>37</v>
      </c>
      <c r="O112" s="3" t="s">
        <v>423</v>
      </c>
      <c r="P112" s="3">
        <v>373</v>
      </c>
      <c r="Q112" s="3">
        <v>373</v>
      </c>
      <c r="R112" s="3" t="s">
        <v>74</v>
      </c>
      <c r="S112" s="3">
        <v>2</v>
      </c>
      <c r="T112" s="3">
        <v>0</v>
      </c>
      <c r="U112" s="3">
        <v>0</v>
      </c>
      <c r="V112" s="3" t="s">
        <v>75</v>
      </c>
      <c r="W112" s="3">
        <v>0</v>
      </c>
      <c r="X112" s="3">
        <v>2</v>
      </c>
      <c r="Y112" s="3">
        <v>0</v>
      </c>
      <c r="Z112" s="3">
        <v>10</v>
      </c>
      <c r="AA112" s="3">
        <f t="shared" si="0"/>
        <v>0</v>
      </c>
      <c r="AB112" s="21"/>
      <c r="AC112" s="21"/>
      <c r="AD112" s="21"/>
      <c r="AE112" s="3" t="s">
        <v>287</v>
      </c>
      <c r="AF112" s="3">
        <v>3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 t="s">
        <v>406</v>
      </c>
    </row>
    <row r="113" spans="1:52">
      <c r="A113" s="3" t="s">
        <v>346</v>
      </c>
      <c r="B113" s="3" t="s">
        <v>388</v>
      </c>
      <c r="C113" s="3" t="s">
        <v>389</v>
      </c>
      <c r="D113" s="3" t="s">
        <v>167</v>
      </c>
      <c r="E113" s="4">
        <v>45908</v>
      </c>
      <c r="F113" s="3" t="s">
        <v>66</v>
      </c>
      <c r="G113" s="3" t="s">
        <v>412</v>
      </c>
      <c r="H113" s="3" t="s">
        <v>424</v>
      </c>
      <c r="I113" s="3" t="s">
        <v>414</v>
      </c>
      <c r="J113" s="3" t="s">
        <v>70</v>
      </c>
      <c r="K113" s="3">
        <v>13673</v>
      </c>
      <c r="L113" s="3">
        <v>44.153300000000002</v>
      </c>
      <c r="M113" s="3">
        <v>-75.670900000000003</v>
      </c>
      <c r="N113" s="3">
        <v>37</v>
      </c>
      <c r="O113" s="22" t="s">
        <v>425</v>
      </c>
      <c r="P113" s="3">
        <v>374</v>
      </c>
      <c r="Q113" s="3">
        <v>374</v>
      </c>
      <c r="R113" s="28" t="s">
        <v>74</v>
      </c>
      <c r="S113" s="3">
        <v>1</v>
      </c>
      <c r="T113" s="3">
        <v>1</v>
      </c>
      <c r="U113" s="3">
        <v>0</v>
      </c>
      <c r="V113" s="3" t="s">
        <v>75</v>
      </c>
      <c r="W113" s="3">
        <v>1</v>
      </c>
      <c r="X113" s="3">
        <v>1</v>
      </c>
      <c r="Y113" s="3">
        <v>0</v>
      </c>
      <c r="Z113" s="29">
        <v>10</v>
      </c>
      <c r="AA113" s="3">
        <f t="shared" si="0"/>
        <v>0</v>
      </c>
      <c r="AB113" s="21"/>
      <c r="AC113" s="21"/>
      <c r="AD113" s="21"/>
      <c r="AE113" s="3" t="s">
        <v>76</v>
      </c>
      <c r="AF113" s="3">
        <v>4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 t="s">
        <v>426</v>
      </c>
    </row>
    <row r="114" spans="1:52">
      <c r="A114" s="3" t="s">
        <v>346</v>
      </c>
      <c r="B114" s="3" t="s">
        <v>388</v>
      </c>
      <c r="C114" s="3" t="s">
        <v>389</v>
      </c>
      <c r="D114" s="3" t="s">
        <v>167</v>
      </c>
      <c r="E114" s="4">
        <v>45908</v>
      </c>
      <c r="F114" s="3" t="s">
        <v>66</v>
      </c>
      <c r="G114" s="3" t="s">
        <v>412</v>
      </c>
      <c r="H114" s="3" t="s">
        <v>427</v>
      </c>
      <c r="I114" s="3" t="s">
        <v>414</v>
      </c>
      <c r="J114" s="3" t="s">
        <v>70</v>
      </c>
      <c r="K114" s="3">
        <v>13673</v>
      </c>
      <c r="L114" s="3">
        <v>44.153300000000002</v>
      </c>
      <c r="M114" s="3">
        <v>-75.670900000000003</v>
      </c>
      <c r="N114" s="3">
        <v>37</v>
      </c>
      <c r="O114" s="3" t="s">
        <v>428</v>
      </c>
      <c r="P114" s="3">
        <v>375</v>
      </c>
      <c r="Q114" s="3">
        <v>375</v>
      </c>
      <c r="R114" s="28" t="s">
        <v>74</v>
      </c>
      <c r="S114" s="3">
        <v>1</v>
      </c>
      <c r="T114" s="3">
        <v>1</v>
      </c>
      <c r="U114" s="3">
        <v>0</v>
      </c>
      <c r="V114" s="3" t="s">
        <v>75</v>
      </c>
      <c r="W114" s="3">
        <v>1</v>
      </c>
      <c r="X114" s="3">
        <v>1</v>
      </c>
      <c r="Y114" s="3">
        <v>0</v>
      </c>
      <c r="Z114" s="29">
        <v>10</v>
      </c>
      <c r="AA114" s="3">
        <f t="shared" si="0"/>
        <v>0</v>
      </c>
      <c r="AB114" s="21"/>
      <c r="AC114" s="21"/>
      <c r="AD114" s="21"/>
      <c r="AE114" s="3" t="s">
        <v>76</v>
      </c>
      <c r="AF114" s="3">
        <v>3.5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1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 t="s">
        <v>396</v>
      </c>
    </row>
    <row r="115" spans="1:52">
      <c r="A115" s="3" t="s">
        <v>346</v>
      </c>
      <c r="B115" s="3" t="s">
        <v>388</v>
      </c>
      <c r="C115" s="3" t="s">
        <v>389</v>
      </c>
      <c r="D115" s="3" t="s">
        <v>167</v>
      </c>
      <c r="E115" s="4">
        <v>45908</v>
      </c>
      <c r="F115" s="3" t="s">
        <v>66</v>
      </c>
      <c r="G115" s="3" t="s">
        <v>412</v>
      </c>
      <c r="H115" s="3" t="s">
        <v>429</v>
      </c>
      <c r="I115" s="3" t="s">
        <v>414</v>
      </c>
      <c r="J115" s="3" t="s">
        <v>70</v>
      </c>
      <c r="K115" s="3">
        <v>13673</v>
      </c>
      <c r="L115" s="3">
        <v>44.153300000000002</v>
      </c>
      <c r="M115" s="3">
        <v>-75.670900000000003</v>
      </c>
      <c r="N115" s="3">
        <v>37</v>
      </c>
      <c r="O115" s="3" t="s">
        <v>430</v>
      </c>
      <c r="P115" s="3">
        <v>376</v>
      </c>
      <c r="Q115" s="3">
        <v>376</v>
      </c>
      <c r="R115" s="28" t="s">
        <v>74</v>
      </c>
      <c r="S115" s="3">
        <v>1</v>
      </c>
      <c r="T115" s="3">
        <v>1</v>
      </c>
      <c r="U115" s="3">
        <v>0</v>
      </c>
      <c r="V115" s="3" t="s">
        <v>75</v>
      </c>
      <c r="W115" s="3">
        <v>1</v>
      </c>
      <c r="X115" s="3">
        <v>1</v>
      </c>
      <c r="Y115" s="3">
        <v>0</v>
      </c>
      <c r="Z115" s="29">
        <v>10</v>
      </c>
      <c r="AA115" s="3">
        <f t="shared" si="0"/>
        <v>0</v>
      </c>
      <c r="AB115" s="21"/>
      <c r="AC115" s="21"/>
      <c r="AD115" s="21"/>
      <c r="AE115" s="3" t="s">
        <v>287</v>
      </c>
      <c r="AF115" s="3">
        <v>4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 t="s">
        <v>406</v>
      </c>
    </row>
    <row r="116" spans="1:52">
      <c r="A116" s="3" t="s">
        <v>346</v>
      </c>
      <c r="B116" s="3" t="s">
        <v>388</v>
      </c>
      <c r="C116" s="3" t="s">
        <v>389</v>
      </c>
      <c r="D116" s="3" t="s">
        <v>167</v>
      </c>
      <c r="E116" s="4">
        <v>45908</v>
      </c>
      <c r="F116" s="3" t="s">
        <v>66</v>
      </c>
      <c r="G116" s="3" t="s">
        <v>412</v>
      </c>
      <c r="H116" s="3" t="s">
        <v>431</v>
      </c>
      <c r="I116" s="3" t="s">
        <v>414</v>
      </c>
      <c r="J116" s="3" t="s">
        <v>70</v>
      </c>
      <c r="K116" s="3">
        <v>13673</v>
      </c>
      <c r="L116" s="3">
        <v>44.153300000000002</v>
      </c>
      <c r="M116" s="3">
        <v>-75.670900000000003</v>
      </c>
      <c r="N116" s="3">
        <v>37</v>
      </c>
      <c r="O116" s="22" t="s">
        <v>432</v>
      </c>
      <c r="P116" s="3">
        <v>377</v>
      </c>
      <c r="Q116" s="3">
        <v>377</v>
      </c>
      <c r="R116" s="28" t="s">
        <v>74</v>
      </c>
      <c r="S116" s="3">
        <v>1</v>
      </c>
      <c r="T116" s="3">
        <v>1</v>
      </c>
      <c r="U116" s="3">
        <v>0</v>
      </c>
      <c r="V116" s="3" t="s">
        <v>75</v>
      </c>
      <c r="W116" s="3">
        <v>1</v>
      </c>
      <c r="X116" s="3">
        <v>1</v>
      </c>
      <c r="Y116" s="3">
        <v>0</v>
      </c>
      <c r="Z116" s="29">
        <v>10</v>
      </c>
      <c r="AA116" s="3">
        <f t="shared" si="0"/>
        <v>0</v>
      </c>
      <c r="AB116" s="21"/>
      <c r="AC116" s="21"/>
      <c r="AD116" s="21"/>
      <c r="AE116" s="3" t="s">
        <v>76</v>
      </c>
      <c r="AF116" s="3">
        <v>3.5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 t="s">
        <v>433</v>
      </c>
    </row>
    <row r="117" spans="1:52">
      <c r="A117" s="3" t="s">
        <v>346</v>
      </c>
      <c r="B117" s="3" t="s">
        <v>388</v>
      </c>
      <c r="C117" s="3" t="s">
        <v>389</v>
      </c>
      <c r="D117" s="3" t="s">
        <v>167</v>
      </c>
      <c r="E117" s="4">
        <v>45908</v>
      </c>
      <c r="F117" s="3" t="s">
        <v>66</v>
      </c>
      <c r="G117" s="3" t="s">
        <v>412</v>
      </c>
      <c r="H117" s="3" t="s">
        <v>434</v>
      </c>
      <c r="I117" s="3" t="s">
        <v>414</v>
      </c>
      <c r="J117" s="3" t="s">
        <v>70</v>
      </c>
      <c r="K117" s="3">
        <v>13673</v>
      </c>
      <c r="L117" s="3">
        <v>44.153300000000002</v>
      </c>
      <c r="M117" s="3">
        <v>-75.670900000000003</v>
      </c>
      <c r="N117" s="3">
        <v>37</v>
      </c>
      <c r="O117" s="3" t="s">
        <v>435</v>
      </c>
      <c r="P117" s="21">
        <v>378</v>
      </c>
      <c r="Q117" s="21">
        <v>378</v>
      </c>
      <c r="R117" s="28" t="s">
        <v>74</v>
      </c>
      <c r="S117" s="3">
        <v>1</v>
      </c>
      <c r="T117" s="3">
        <v>1</v>
      </c>
      <c r="U117" s="3">
        <v>0</v>
      </c>
      <c r="V117" s="3" t="s">
        <v>75</v>
      </c>
      <c r="W117" s="3">
        <v>1</v>
      </c>
      <c r="X117" s="3">
        <v>1</v>
      </c>
      <c r="Y117" s="3">
        <v>0</v>
      </c>
      <c r="Z117" s="29">
        <v>10</v>
      </c>
      <c r="AA117" s="3">
        <f t="shared" si="0"/>
        <v>0</v>
      </c>
      <c r="AB117" s="21"/>
      <c r="AC117" s="21"/>
      <c r="AD117" s="21"/>
      <c r="AE117" s="3" t="s">
        <v>287</v>
      </c>
      <c r="AF117" s="3">
        <v>3.5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1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 t="s">
        <v>396</v>
      </c>
    </row>
    <row r="118" spans="1:52">
      <c r="A118" s="3" t="s">
        <v>346</v>
      </c>
      <c r="B118" s="3" t="s">
        <v>388</v>
      </c>
      <c r="C118" s="3" t="s">
        <v>389</v>
      </c>
      <c r="D118" s="3" t="s">
        <v>167</v>
      </c>
      <c r="E118" s="4">
        <v>45908</v>
      </c>
      <c r="F118" s="3" t="s">
        <v>66</v>
      </c>
      <c r="G118" s="3" t="s">
        <v>412</v>
      </c>
      <c r="H118" s="3" t="s">
        <v>436</v>
      </c>
      <c r="I118" s="3" t="s">
        <v>414</v>
      </c>
      <c r="J118" s="3" t="s">
        <v>70</v>
      </c>
      <c r="K118" s="3">
        <v>13673</v>
      </c>
      <c r="L118" s="3">
        <v>44.153300000000002</v>
      </c>
      <c r="M118" s="3">
        <v>-75.670900000000003</v>
      </c>
      <c r="N118" s="3">
        <v>37</v>
      </c>
      <c r="O118" s="3" t="s">
        <v>437</v>
      </c>
      <c r="P118" s="21">
        <v>379</v>
      </c>
      <c r="Q118" s="21">
        <v>379</v>
      </c>
      <c r="R118" s="28" t="s">
        <v>74</v>
      </c>
      <c r="S118" s="3">
        <v>1</v>
      </c>
      <c r="T118" s="3">
        <v>1</v>
      </c>
      <c r="U118" s="3">
        <v>0</v>
      </c>
      <c r="V118" s="3" t="s">
        <v>75</v>
      </c>
      <c r="W118" s="3">
        <v>1</v>
      </c>
      <c r="X118" s="3">
        <v>0</v>
      </c>
      <c r="Y118" s="3">
        <v>0</v>
      </c>
      <c r="Z118" s="29">
        <v>10</v>
      </c>
      <c r="AA118" s="3">
        <f t="shared" si="0"/>
        <v>0</v>
      </c>
      <c r="AB118" s="21"/>
      <c r="AC118" s="21"/>
      <c r="AD118" s="21"/>
      <c r="AE118" s="3" t="s">
        <v>76</v>
      </c>
      <c r="AF118" s="3">
        <v>3.5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 t="s">
        <v>396</v>
      </c>
    </row>
    <row r="119" spans="1:52">
      <c r="A119" s="3" t="s">
        <v>346</v>
      </c>
      <c r="B119" s="1" t="s">
        <v>438</v>
      </c>
      <c r="C119" s="1" t="s">
        <v>439</v>
      </c>
      <c r="D119" s="3" t="s">
        <v>65</v>
      </c>
      <c r="E119" s="4">
        <v>45909</v>
      </c>
      <c r="F119" s="1" t="s">
        <v>66</v>
      </c>
      <c r="G119" s="11" t="s">
        <v>440</v>
      </c>
      <c r="H119" s="1" t="s">
        <v>441</v>
      </c>
      <c r="I119" s="5" t="s">
        <v>442</v>
      </c>
      <c r="J119" s="5" t="s">
        <v>70</v>
      </c>
      <c r="K119" s="1">
        <v>14468</v>
      </c>
      <c r="L119" s="3" t="s">
        <v>443</v>
      </c>
      <c r="M119" s="3" t="s">
        <v>444</v>
      </c>
      <c r="N119" s="5">
        <v>68</v>
      </c>
      <c r="O119" s="3" t="s">
        <v>445</v>
      </c>
      <c r="P119" s="3">
        <v>233</v>
      </c>
      <c r="Q119" s="3">
        <v>233</v>
      </c>
      <c r="R119" s="3" t="s">
        <v>74</v>
      </c>
      <c r="S119" s="3">
        <v>2</v>
      </c>
      <c r="T119" s="3">
        <v>0</v>
      </c>
      <c r="U119" s="3">
        <v>0</v>
      </c>
      <c r="V119" s="21"/>
      <c r="W119" s="3">
        <v>0</v>
      </c>
      <c r="X119" s="3">
        <v>0</v>
      </c>
      <c r="Y119" s="3">
        <v>0</v>
      </c>
      <c r="Z119" s="3">
        <v>10</v>
      </c>
      <c r="AA119" s="3">
        <f t="shared" si="0"/>
        <v>0</v>
      </c>
      <c r="AB119" s="21"/>
      <c r="AC119" s="21"/>
      <c r="AD119" s="21"/>
      <c r="AE119" s="3" t="s">
        <v>76</v>
      </c>
      <c r="AF119" s="3">
        <v>4.5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 t="s">
        <v>446</v>
      </c>
    </row>
    <row r="120" spans="1:52">
      <c r="A120" s="3" t="s">
        <v>346</v>
      </c>
      <c r="B120" s="1" t="s">
        <v>438</v>
      </c>
      <c r="C120" s="1" t="s">
        <v>439</v>
      </c>
      <c r="D120" s="3" t="s">
        <v>65</v>
      </c>
      <c r="E120" s="4">
        <v>45909</v>
      </c>
      <c r="F120" s="1" t="s">
        <v>66</v>
      </c>
      <c r="G120" s="11" t="s">
        <v>440</v>
      </c>
      <c r="H120" s="1" t="s">
        <v>441</v>
      </c>
      <c r="I120" s="5" t="s">
        <v>442</v>
      </c>
      <c r="J120" s="5" t="s">
        <v>70</v>
      </c>
      <c r="K120" s="1">
        <v>14468</v>
      </c>
      <c r="L120" s="3" t="s">
        <v>443</v>
      </c>
      <c r="M120" s="3" t="s">
        <v>444</v>
      </c>
      <c r="N120" s="5">
        <v>68</v>
      </c>
      <c r="O120" s="3" t="s">
        <v>447</v>
      </c>
      <c r="P120" s="3">
        <v>234</v>
      </c>
      <c r="Q120" s="3">
        <v>234</v>
      </c>
      <c r="R120" s="3" t="s">
        <v>74</v>
      </c>
      <c r="S120" s="3">
        <v>1</v>
      </c>
      <c r="T120" s="3">
        <v>0</v>
      </c>
      <c r="U120" s="3">
        <v>0</v>
      </c>
      <c r="V120" s="21"/>
      <c r="W120" s="3">
        <v>0</v>
      </c>
      <c r="X120" s="3">
        <v>0</v>
      </c>
      <c r="Y120" s="3">
        <v>0</v>
      </c>
      <c r="Z120" s="3">
        <v>10</v>
      </c>
      <c r="AA120" s="3">
        <f t="shared" si="0"/>
        <v>0</v>
      </c>
      <c r="AB120" s="21"/>
      <c r="AC120" s="21"/>
      <c r="AD120" s="21"/>
      <c r="AE120" s="3" t="s">
        <v>287</v>
      </c>
      <c r="AF120" s="3">
        <v>2.5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1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 t="s">
        <v>448</v>
      </c>
    </row>
    <row r="121" spans="1:52">
      <c r="A121" s="3" t="s">
        <v>346</v>
      </c>
      <c r="B121" s="1" t="s">
        <v>438</v>
      </c>
      <c r="C121" s="1" t="s">
        <v>439</v>
      </c>
      <c r="D121" s="3" t="s">
        <v>65</v>
      </c>
      <c r="E121" s="4">
        <v>45909</v>
      </c>
      <c r="F121" s="1" t="s">
        <v>66</v>
      </c>
      <c r="G121" s="11" t="s">
        <v>440</v>
      </c>
      <c r="H121" s="1" t="s">
        <v>441</v>
      </c>
      <c r="I121" s="5" t="s">
        <v>442</v>
      </c>
      <c r="J121" s="5" t="s">
        <v>70</v>
      </c>
      <c r="K121" s="1">
        <v>14468</v>
      </c>
      <c r="L121" s="3" t="s">
        <v>443</v>
      </c>
      <c r="M121" s="3" t="s">
        <v>444</v>
      </c>
      <c r="N121" s="5">
        <v>68</v>
      </c>
      <c r="O121" s="3" t="s">
        <v>449</v>
      </c>
      <c r="P121" s="3">
        <v>235</v>
      </c>
      <c r="Q121" s="3">
        <v>235</v>
      </c>
      <c r="R121" s="3" t="s">
        <v>74</v>
      </c>
      <c r="S121" s="3">
        <v>2</v>
      </c>
      <c r="T121" s="3">
        <v>0</v>
      </c>
      <c r="U121" s="3">
        <v>0</v>
      </c>
      <c r="V121" s="21"/>
      <c r="W121" s="3">
        <v>0</v>
      </c>
      <c r="X121" s="3">
        <v>0</v>
      </c>
      <c r="Z121" s="3">
        <v>10</v>
      </c>
      <c r="AA121" s="3">
        <f t="shared" si="0"/>
        <v>0</v>
      </c>
      <c r="AB121" s="21"/>
      <c r="AC121" s="21"/>
      <c r="AD121" s="21"/>
      <c r="AE121" s="21"/>
      <c r="AF121" s="3">
        <v>4</v>
      </c>
      <c r="AG121" s="3">
        <v>0</v>
      </c>
      <c r="AH121" s="3">
        <v>0</v>
      </c>
      <c r="AI121" s="3">
        <v>0</v>
      </c>
      <c r="AJ121" s="3">
        <v>1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1</v>
      </c>
      <c r="AV121" s="3">
        <v>0</v>
      </c>
      <c r="AW121" s="3">
        <v>0</v>
      </c>
      <c r="AX121" s="3">
        <v>0</v>
      </c>
      <c r="AY121" s="3">
        <v>0</v>
      </c>
      <c r="AZ121" s="3" t="s">
        <v>450</v>
      </c>
    </row>
    <row r="122" spans="1:52">
      <c r="A122" s="3" t="s">
        <v>346</v>
      </c>
      <c r="B122" s="1" t="s">
        <v>438</v>
      </c>
      <c r="C122" s="1" t="s">
        <v>439</v>
      </c>
      <c r="D122" s="3" t="s">
        <v>65</v>
      </c>
      <c r="E122" s="4">
        <v>45909</v>
      </c>
      <c r="F122" s="1" t="s">
        <v>66</v>
      </c>
      <c r="G122" s="11" t="s">
        <v>440</v>
      </c>
      <c r="H122" s="1" t="s">
        <v>441</v>
      </c>
      <c r="I122" s="5" t="s">
        <v>442</v>
      </c>
      <c r="J122" s="5" t="s">
        <v>70</v>
      </c>
      <c r="K122" s="1">
        <v>14468</v>
      </c>
      <c r="L122" s="3" t="s">
        <v>443</v>
      </c>
      <c r="M122" s="3" t="s">
        <v>444</v>
      </c>
      <c r="N122" s="5">
        <v>68</v>
      </c>
      <c r="O122" s="3" t="s">
        <v>451</v>
      </c>
      <c r="P122" s="3">
        <v>236</v>
      </c>
      <c r="Q122" s="3">
        <v>236</v>
      </c>
      <c r="R122" s="3" t="s">
        <v>74</v>
      </c>
      <c r="S122" s="3">
        <v>2</v>
      </c>
      <c r="T122" s="3">
        <v>0</v>
      </c>
      <c r="U122" s="3">
        <v>0</v>
      </c>
      <c r="V122" s="21"/>
      <c r="W122" s="3">
        <v>0</v>
      </c>
      <c r="X122" s="3">
        <v>0</v>
      </c>
      <c r="Y122" s="3">
        <v>0</v>
      </c>
      <c r="Z122" s="3">
        <v>10</v>
      </c>
      <c r="AA122" s="3">
        <f t="shared" si="0"/>
        <v>0</v>
      </c>
      <c r="AB122" s="21"/>
      <c r="AC122" s="21"/>
      <c r="AD122" s="21"/>
      <c r="AE122" s="3" t="s">
        <v>287</v>
      </c>
      <c r="AF122" s="3">
        <v>4.5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 t="s">
        <v>406</v>
      </c>
    </row>
    <row r="123" spans="1:52">
      <c r="A123" s="3" t="s">
        <v>346</v>
      </c>
      <c r="B123" s="1" t="s">
        <v>452</v>
      </c>
      <c r="C123" s="1" t="s">
        <v>453</v>
      </c>
      <c r="D123" s="3" t="s">
        <v>65</v>
      </c>
      <c r="E123" s="4">
        <v>45909</v>
      </c>
      <c r="F123" s="1" t="s">
        <v>66</v>
      </c>
      <c r="G123" s="1" t="s">
        <v>454</v>
      </c>
      <c r="H123" s="1" t="s">
        <v>455</v>
      </c>
      <c r="I123" s="19" t="s">
        <v>456</v>
      </c>
      <c r="J123" s="19" t="s">
        <v>70</v>
      </c>
      <c r="K123" s="20">
        <v>14469</v>
      </c>
      <c r="L123" s="3" t="s">
        <v>457</v>
      </c>
      <c r="M123" s="3" t="s">
        <v>458</v>
      </c>
      <c r="N123" s="3">
        <v>36</v>
      </c>
      <c r="O123" s="3" t="s">
        <v>459</v>
      </c>
      <c r="P123" s="3">
        <v>229</v>
      </c>
      <c r="Q123" s="3">
        <v>229</v>
      </c>
      <c r="R123" s="28" t="s">
        <v>74</v>
      </c>
      <c r="S123" s="3">
        <v>1</v>
      </c>
      <c r="T123" s="3">
        <v>0</v>
      </c>
      <c r="U123" s="3">
        <v>0</v>
      </c>
      <c r="V123" s="3" t="s">
        <v>75</v>
      </c>
      <c r="W123" s="3">
        <v>0</v>
      </c>
      <c r="X123" s="3">
        <v>1</v>
      </c>
      <c r="Y123" s="3">
        <v>0</v>
      </c>
      <c r="Z123" s="3">
        <v>10</v>
      </c>
      <c r="AA123" s="3">
        <f t="shared" si="0"/>
        <v>0</v>
      </c>
      <c r="AB123" s="21"/>
      <c r="AC123" s="21"/>
      <c r="AD123" s="21"/>
      <c r="AE123" s="3" t="s">
        <v>76</v>
      </c>
      <c r="AF123" s="3">
        <v>3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1</v>
      </c>
      <c r="AS123" s="3">
        <v>1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1</v>
      </c>
      <c r="AZ123" s="3" t="s">
        <v>460</v>
      </c>
    </row>
    <row r="124" spans="1:52">
      <c r="A124" s="3" t="s">
        <v>346</v>
      </c>
      <c r="B124" s="1" t="s">
        <v>452</v>
      </c>
      <c r="C124" s="1" t="s">
        <v>453</v>
      </c>
      <c r="D124" s="3" t="s">
        <v>65</v>
      </c>
      <c r="E124" s="4">
        <v>45909</v>
      </c>
      <c r="F124" s="1" t="s">
        <v>66</v>
      </c>
      <c r="G124" s="1" t="s">
        <v>454</v>
      </c>
      <c r="H124" s="1" t="s">
        <v>455</v>
      </c>
      <c r="I124" s="19" t="s">
        <v>456</v>
      </c>
      <c r="J124" s="19" t="s">
        <v>70</v>
      </c>
      <c r="K124" s="20">
        <v>14469</v>
      </c>
      <c r="L124" s="3" t="s">
        <v>457</v>
      </c>
      <c r="M124" s="3" t="s">
        <v>458</v>
      </c>
      <c r="N124" s="3">
        <v>36</v>
      </c>
      <c r="O124" s="3" t="s">
        <v>461</v>
      </c>
      <c r="P124" s="3">
        <v>230</v>
      </c>
      <c r="Q124" s="3">
        <v>230</v>
      </c>
      <c r="R124" s="28" t="s">
        <v>74</v>
      </c>
      <c r="S124" s="3">
        <v>1</v>
      </c>
      <c r="T124" s="3">
        <v>0</v>
      </c>
      <c r="U124" s="3">
        <v>0</v>
      </c>
      <c r="V124" s="3" t="s">
        <v>75</v>
      </c>
      <c r="W124" s="3">
        <v>0</v>
      </c>
      <c r="X124" s="3">
        <v>2</v>
      </c>
      <c r="Y124" s="3">
        <v>0</v>
      </c>
      <c r="Z124" s="3">
        <v>10</v>
      </c>
      <c r="AA124" s="3">
        <f t="shared" si="0"/>
        <v>0</v>
      </c>
      <c r="AB124" s="21"/>
      <c r="AC124" s="21"/>
      <c r="AD124" s="21"/>
      <c r="AE124" s="3" t="s">
        <v>287</v>
      </c>
      <c r="AF124" s="3">
        <v>3.5</v>
      </c>
      <c r="AG124" s="3">
        <v>1</v>
      </c>
      <c r="AH124" s="3">
        <v>0</v>
      </c>
      <c r="AI124" s="3">
        <v>0</v>
      </c>
      <c r="AJ124" s="3">
        <v>1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1</v>
      </c>
      <c r="AS124" s="3">
        <v>1</v>
      </c>
      <c r="AT124" s="3">
        <v>1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 t="s">
        <v>462</v>
      </c>
    </row>
    <row r="125" spans="1:52">
      <c r="A125" s="3" t="s">
        <v>346</v>
      </c>
      <c r="B125" s="1" t="s">
        <v>452</v>
      </c>
      <c r="C125" s="1" t="s">
        <v>453</v>
      </c>
      <c r="D125" s="3" t="s">
        <v>65</v>
      </c>
      <c r="E125" s="4">
        <v>45909</v>
      </c>
      <c r="F125" s="1" t="s">
        <v>66</v>
      </c>
      <c r="G125" s="1" t="s">
        <v>454</v>
      </c>
      <c r="H125" s="1" t="s">
        <v>455</v>
      </c>
      <c r="I125" s="19" t="s">
        <v>456</v>
      </c>
      <c r="J125" s="19" t="s">
        <v>70</v>
      </c>
      <c r="K125" s="20">
        <v>14469</v>
      </c>
      <c r="L125" s="3" t="s">
        <v>457</v>
      </c>
      <c r="M125" s="3" t="s">
        <v>458</v>
      </c>
      <c r="N125" s="3">
        <v>36</v>
      </c>
      <c r="O125" s="3" t="s">
        <v>463</v>
      </c>
      <c r="P125" s="3">
        <v>231</v>
      </c>
      <c r="Q125" s="3">
        <v>231</v>
      </c>
      <c r="R125" s="28" t="s">
        <v>74</v>
      </c>
      <c r="S125" s="3">
        <v>1</v>
      </c>
      <c r="T125" s="3">
        <v>0</v>
      </c>
      <c r="U125" s="3">
        <v>0</v>
      </c>
      <c r="V125" s="3" t="s">
        <v>75</v>
      </c>
      <c r="W125" s="3">
        <v>0</v>
      </c>
      <c r="X125" s="3">
        <v>2</v>
      </c>
      <c r="Y125" s="3">
        <v>0</v>
      </c>
      <c r="Z125" s="3">
        <v>10</v>
      </c>
      <c r="AA125" s="3">
        <f t="shared" si="0"/>
        <v>0</v>
      </c>
      <c r="AB125" s="21"/>
      <c r="AC125" s="21"/>
      <c r="AD125" s="21"/>
      <c r="AE125" s="3" t="s">
        <v>287</v>
      </c>
      <c r="AF125" s="3">
        <v>3</v>
      </c>
      <c r="AG125" s="3">
        <v>0</v>
      </c>
      <c r="AH125" s="3">
        <v>0</v>
      </c>
      <c r="AI125" s="3">
        <v>0</v>
      </c>
      <c r="AJ125" s="3">
        <v>1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 t="s">
        <v>464</v>
      </c>
    </row>
    <row r="126" spans="1:52">
      <c r="A126" s="3" t="s">
        <v>346</v>
      </c>
      <c r="B126" s="1" t="s">
        <v>452</v>
      </c>
      <c r="C126" s="1" t="s">
        <v>453</v>
      </c>
      <c r="D126" s="3" t="s">
        <v>65</v>
      </c>
      <c r="E126" s="4">
        <v>45909</v>
      </c>
      <c r="F126" s="1" t="s">
        <v>66</v>
      </c>
      <c r="G126" s="1" t="s">
        <v>454</v>
      </c>
      <c r="H126" s="1" t="s">
        <v>455</v>
      </c>
      <c r="I126" s="19" t="s">
        <v>456</v>
      </c>
      <c r="J126" s="19" t="s">
        <v>70</v>
      </c>
      <c r="K126" s="20">
        <v>14469</v>
      </c>
      <c r="L126" s="3" t="s">
        <v>457</v>
      </c>
      <c r="M126" s="3" t="s">
        <v>458</v>
      </c>
      <c r="N126" s="3">
        <v>36</v>
      </c>
      <c r="O126" s="28" t="s">
        <v>465</v>
      </c>
      <c r="P126" s="3">
        <v>232</v>
      </c>
      <c r="Q126" s="3">
        <v>232</v>
      </c>
      <c r="R126" s="28" t="s">
        <v>74</v>
      </c>
      <c r="S126" s="21"/>
      <c r="T126" s="21"/>
      <c r="U126" s="21"/>
      <c r="V126" s="21"/>
      <c r="W126" s="21"/>
      <c r="X126" s="21"/>
      <c r="Y126" s="21"/>
      <c r="Z126" s="3">
        <v>10</v>
      </c>
      <c r="AA126" s="3">
        <f t="shared" si="0"/>
        <v>0</v>
      </c>
      <c r="AB126" s="21"/>
      <c r="AC126" s="21"/>
      <c r="AD126" s="21"/>
      <c r="AE126" s="3" t="s">
        <v>287</v>
      </c>
      <c r="AF126" s="3">
        <v>4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 t="s">
        <v>466</v>
      </c>
    </row>
    <row r="127" spans="1:52">
      <c r="A127" s="3" t="s">
        <v>346</v>
      </c>
      <c r="B127" s="1" t="s">
        <v>467</v>
      </c>
      <c r="C127" s="1" t="s">
        <v>468</v>
      </c>
      <c r="D127" s="3" t="s">
        <v>188</v>
      </c>
      <c r="E127" s="4">
        <v>45909</v>
      </c>
      <c r="F127" s="1" t="s">
        <v>66</v>
      </c>
      <c r="G127" s="1" t="s">
        <v>469</v>
      </c>
      <c r="H127" s="5" t="s">
        <v>470</v>
      </c>
      <c r="I127" s="5" t="s">
        <v>471</v>
      </c>
      <c r="J127" s="5" t="s">
        <v>70</v>
      </c>
      <c r="K127" s="5">
        <v>14472</v>
      </c>
      <c r="L127" s="1">
        <v>42.960099999999997</v>
      </c>
      <c r="M127" s="1">
        <v>-77.657499999999999</v>
      </c>
      <c r="N127" s="3">
        <v>14</v>
      </c>
      <c r="O127" s="3" t="s">
        <v>472</v>
      </c>
      <c r="P127" s="28">
        <v>125</v>
      </c>
      <c r="Q127" s="21">
        <v>121</v>
      </c>
      <c r="R127" s="3" t="s">
        <v>74</v>
      </c>
      <c r="S127" s="3">
        <v>2</v>
      </c>
      <c r="T127" s="3">
        <v>0</v>
      </c>
      <c r="U127" s="3">
        <v>0</v>
      </c>
      <c r="V127" s="3" t="s">
        <v>75</v>
      </c>
      <c r="W127" s="3">
        <v>0</v>
      </c>
      <c r="X127" s="3">
        <v>2</v>
      </c>
      <c r="Y127" s="3">
        <v>0</v>
      </c>
      <c r="Z127" s="3">
        <v>10</v>
      </c>
      <c r="AA127" s="3">
        <f t="shared" si="0"/>
        <v>0</v>
      </c>
      <c r="AB127" s="21"/>
      <c r="AC127" s="21"/>
      <c r="AD127" s="21"/>
      <c r="AE127" s="3" t="s">
        <v>76</v>
      </c>
      <c r="AF127" s="3">
        <v>5</v>
      </c>
      <c r="AG127" s="3">
        <v>0</v>
      </c>
      <c r="AH127" s="3">
        <v>0</v>
      </c>
      <c r="AI127" s="3">
        <v>0</v>
      </c>
      <c r="AJ127" s="3">
        <v>1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 t="s">
        <v>473</v>
      </c>
    </row>
    <row r="128" spans="1:52">
      <c r="A128" s="3" t="s">
        <v>346</v>
      </c>
      <c r="B128" s="1" t="s">
        <v>467</v>
      </c>
      <c r="C128" s="1" t="s">
        <v>468</v>
      </c>
      <c r="D128" s="3" t="s">
        <v>188</v>
      </c>
      <c r="E128" s="4">
        <v>45909</v>
      </c>
      <c r="F128" s="1" t="s">
        <v>66</v>
      </c>
      <c r="G128" s="1" t="s">
        <v>469</v>
      </c>
      <c r="H128" s="5" t="s">
        <v>474</v>
      </c>
      <c r="I128" s="5" t="s">
        <v>471</v>
      </c>
      <c r="J128" s="5" t="s">
        <v>70</v>
      </c>
      <c r="K128" s="5">
        <v>14472</v>
      </c>
      <c r="L128" s="1">
        <v>42.960099999999997</v>
      </c>
      <c r="M128" s="1">
        <v>-77.657499999999999</v>
      </c>
      <c r="N128" s="3">
        <v>14</v>
      </c>
      <c r="O128" s="3" t="s">
        <v>475</v>
      </c>
      <c r="P128" s="28">
        <v>126</v>
      </c>
      <c r="Q128" s="21">
        <v>122</v>
      </c>
      <c r="R128" s="3" t="s">
        <v>74</v>
      </c>
      <c r="S128" s="3">
        <v>1</v>
      </c>
      <c r="T128" s="3">
        <v>2</v>
      </c>
      <c r="U128" s="3">
        <v>0</v>
      </c>
      <c r="V128" s="3" t="s">
        <v>75</v>
      </c>
      <c r="W128" s="3">
        <v>1</v>
      </c>
      <c r="X128" s="3">
        <v>2</v>
      </c>
      <c r="Y128" s="3">
        <v>0</v>
      </c>
      <c r="Z128" s="3">
        <v>10</v>
      </c>
      <c r="AA128" s="3">
        <f t="shared" si="0"/>
        <v>0</v>
      </c>
      <c r="AB128" s="21"/>
      <c r="AC128" s="21"/>
      <c r="AD128" s="21"/>
      <c r="AE128" s="3" t="s">
        <v>76</v>
      </c>
      <c r="AF128" s="3">
        <v>3.5</v>
      </c>
      <c r="AG128" s="3">
        <v>0</v>
      </c>
      <c r="AH128" s="3">
        <v>0</v>
      </c>
      <c r="AI128" s="3">
        <v>0</v>
      </c>
      <c r="AJ128" s="3">
        <v>1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 t="s">
        <v>409</v>
      </c>
    </row>
    <row r="129" spans="1:52">
      <c r="A129" s="3" t="s">
        <v>346</v>
      </c>
      <c r="B129" s="1" t="s">
        <v>467</v>
      </c>
      <c r="C129" s="1" t="s">
        <v>468</v>
      </c>
      <c r="D129" s="3" t="s">
        <v>188</v>
      </c>
      <c r="E129" s="4">
        <v>45909</v>
      </c>
      <c r="F129" s="1" t="s">
        <v>66</v>
      </c>
      <c r="G129" s="1" t="s">
        <v>469</v>
      </c>
      <c r="H129" s="5" t="s">
        <v>476</v>
      </c>
      <c r="I129" s="5" t="s">
        <v>471</v>
      </c>
      <c r="J129" s="5" t="s">
        <v>70</v>
      </c>
      <c r="K129" s="5">
        <v>14472</v>
      </c>
      <c r="L129" s="1">
        <v>42.960099999999997</v>
      </c>
      <c r="M129" s="1">
        <v>-77.657499999999999</v>
      </c>
      <c r="N129" s="3">
        <v>14</v>
      </c>
      <c r="O129" s="3" t="s">
        <v>477</v>
      </c>
      <c r="P129" s="28">
        <v>127</v>
      </c>
      <c r="Q129" s="21">
        <v>123</v>
      </c>
      <c r="R129" s="3" t="s">
        <v>74</v>
      </c>
      <c r="S129" s="3">
        <v>2</v>
      </c>
      <c r="T129" s="3">
        <v>0</v>
      </c>
      <c r="U129" s="3">
        <v>0</v>
      </c>
      <c r="V129" s="3" t="s">
        <v>75</v>
      </c>
      <c r="W129" s="3">
        <v>0</v>
      </c>
      <c r="X129" s="3">
        <v>1</v>
      </c>
      <c r="Y129" s="3">
        <v>0</v>
      </c>
      <c r="Z129" s="3">
        <v>10</v>
      </c>
      <c r="AA129" s="3">
        <f t="shared" si="0"/>
        <v>0</v>
      </c>
      <c r="AB129" s="21"/>
      <c r="AC129" s="21"/>
      <c r="AD129" s="21"/>
      <c r="AE129" s="3" t="s">
        <v>287</v>
      </c>
      <c r="AF129" s="3">
        <v>3.5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1</v>
      </c>
      <c r="AS129" s="3">
        <v>1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 t="s">
        <v>478</v>
      </c>
    </row>
    <row r="130" spans="1:52">
      <c r="A130" s="3" t="s">
        <v>346</v>
      </c>
      <c r="B130" s="1" t="s">
        <v>467</v>
      </c>
      <c r="C130" s="1" t="s">
        <v>468</v>
      </c>
      <c r="D130" s="3" t="s">
        <v>188</v>
      </c>
      <c r="E130" s="4">
        <v>45909</v>
      </c>
      <c r="F130" s="1" t="s">
        <v>66</v>
      </c>
      <c r="G130" s="1" t="s">
        <v>469</v>
      </c>
      <c r="H130" s="5" t="s">
        <v>479</v>
      </c>
      <c r="I130" s="5" t="s">
        <v>471</v>
      </c>
      <c r="J130" s="5" t="s">
        <v>70</v>
      </c>
      <c r="K130" s="5">
        <v>14472</v>
      </c>
      <c r="L130" s="1">
        <v>42.960099999999997</v>
      </c>
      <c r="M130" s="1">
        <v>-77.657499999999999</v>
      </c>
      <c r="N130" s="3">
        <v>14</v>
      </c>
      <c r="O130" s="12" t="s">
        <v>480</v>
      </c>
      <c r="P130" s="28">
        <v>128</v>
      </c>
      <c r="Q130" s="21">
        <v>124</v>
      </c>
      <c r="R130" s="3" t="s">
        <v>74</v>
      </c>
      <c r="S130" s="3">
        <v>2</v>
      </c>
      <c r="T130" s="3">
        <v>0</v>
      </c>
      <c r="U130" s="3">
        <v>0</v>
      </c>
      <c r="V130" s="3" t="s">
        <v>75</v>
      </c>
      <c r="W130" s="3">
        <v>0</v>
      </c>
      <c r="X130" s="3">
        <v>3</v>
      </c>
      <c r="Y130" s="3">
        <v>0</v>
      </c>
      <c r="Z130" s="3">
        <v>10</v>
      </c>
      <c r="AA130" s="3">
        <f t="shared" si="0"/>
        <v>0</v>
      </c>
      <c r="AB130" s="21"/>
      <c r="AC130" s="21"/>
      <c r="AD130" s="21"/>
      <c r="AE130" s="3" t="s">
        <v>76</v>
      </c>
      <c r="AF130" s="3">
        <v>3.5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1</v>
      </c>
      <c r="AS130" s="3">
        <v>1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 t="s">
        <v>478</v>
      </c>
    </row>
    <row r="131" spans="1:52">
      <c r="A131" s="3" t="s">
        <v>346</v>
      </c>
      <c r="B131" s="3" t="s">
        <v>481</v>
      </c>
      <c r="C131" s="3" t="s">
        <v>482</v>
      </c>
      <c r="D131" s="3" t="s">
        <v>65</v>
      </c>
      <c r="E131" s="4">
        <v>45910</v>
      </c>
      <c r="F131" s="1" t="s">
        <v>66</v>
      </c>
      <c r="G131" s="3" t="s">
        <v>483</v>
      </c>
      <c r="H131" s="5" t="s">
        <v>484</v>
      </c>
      <c r="I131" s="5" t="s">
        <v>485</v>
      </c>
      <c r="J131" s="5" t="s">
        <v>70</v>
      </c>
      <c r="K131" s="1">
        <v>14008</v>
      </c>
      <c r="L131" s="3" t="s">
        <v>486</v>
      </c>
      <c r="M131" s="3" t="s">
        <v>487</v>
      </c>
      <c r="N131" s="3">
        <v>14</v>
      </c>
      <c r="O131" s="29" t="s">
        <v>488</v>
      </c>
      <c r="P131" s="21">
        <v>237</v>
      </c>
      <c r="Q131" s="29">
        <v>237</v>
      </c>
      <c r="R131" s="3" t="s">
        <v>74</v>
      </c>
      <c r="S131" s="3">
        <v>3</v>
      </c>
      <c r="T131" s="3">
        <v>0</v>
      </c>
      <c r="U131" s="3">
        <v>0</v>
      </c>
      <c r="V131" s="3" t="s">
        <v>66</v>
      </c>
      <c r="W131" s="3">
        <v>0</v>
      </c>
      <c r="X131" s="3">
        <v>1</v>
      </c>
      <c r="Y131" s="3">
        <v>0</v>
      </c>
      <c r="Z131" s="29">
        <v>10</v>
      </c>
      <c r="AA131" s="3">
        <f t="shared" si="0"/>
        <v>0</v>
      </c>
      <c r="AB131" s="21"/>
      <c r="AC131" s="21"/>
      <c r="AD131" s="21"/>
      <c r="AE131" s="3" t="s">
        <v>76</v>
      </c>
      <c r="AF131" s="3">
        <v>4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1</v>
      </c>
      <c r="AS131" s="3">
        <v>0</v>
      </c>
      <c r="AT131" s="3">
        <v>1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 t="s">
        <v>489</v>
      </c>
    </row>
    <row r="132" spans="1:52">
      <c r="A132" s="3" t="s">
        <v>346</v>
      </c>
      <c r="B132" s="3" t="s">
        <v>481</v>
      </c>
      <c r="C132" s="3" t="s">
        <v>482</v>
      </c>
      <c r="D132" s="3" t="s">
        <v>65</v>
      </c>
      <c r="E132" s="4">
        <v>45910</v>
      </c>
      <c r="F132" s="1" t="s">
        <v>66</v>
      </c>
      <c r="G132" s="3" t="s">
        <v>483</v>
      </c>
      <c r="H132" s="5" t="s">
        <v>484</v>
      </c>
      <c r="I132" s="5" t="s">
        <v>485</v>
      </c>
      <c r="J132" s="5" t="s">
        <v>70</v>
      </c>
      <c r="K132" s="1">
        <v>14008</v>
      </c>
      <c r="L132" s="3" t="s">
        <v>486</v>
      </c>
      <c r="M132" s="3" t="s">
        <v>487</v>
      </c>
      <c r="N132" s="3">
        <v>14</v>
      </c>
      <c r="O132" s="29" t="s">
        <v>490</v>
      </c>
      <c r="P132" s="25">
        <v>238</v>
      </c>
      <c r="Q132" s="29">
        <v>238</v>
      </c>
      <c r="R132" s="29" t="s">
        <v>74</v>
      </c>
      <c r="S132" s="3">
        <v>3</v>
      </c>
      <c r="T132" s="3">
        <v>0</v>
      </c>
      <c r="U132" s="3">
        <v>0</v>
      </c>
      <c r="V132" s="3" t="s">
        <v>66</v>
      </c>
      <c r="W132" s="3">
        <v>0</v>
      </c>
      <c r="X132" s="3">
        <v>1</v>
      </c>
      <c r="Y132" s="3">
        <v>0</v>
      </c>
      <c r="Z132" s="29">
        <v>10</v>
      </c>
      <c r="AA132" s="3">
        <f t="shared" si="0"/>
        <v>0</v>
      </c>
      <c r="AB132" s="21"/>
      <c r="AC132" s="21"/>
      <c r="AD132" s="21"/>
      <c r="AE132" s="3" t="s">
        <v>76</v>
      </c>
      <c r="AF132" s="3">
        <v>4.5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1</v>
      </c>
      <c r="AT132" s="3">
        <v>1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 t="s">
        <v>491</v>
      </c>
    </row>
    <row r="133" spans="1:52">
      <c r="A133" s="3" t="s">
        <v>346</v>
      </c>
      <c r="B133" s="3" t="s">
        <v>481</v>
      </c>
      <c r="C133" s="3" t="s">
        <v>482</v>
      </c>
      <c r="D133" s="3" t="s">
        <v>65</v>
      </c>
      <c r="E133" s="4">
        <v>45910</v>
      </c>
      <c r="F133" s="1" t="s">
        <v>66</v>
      </c>
      <c r="G133" s="3" t="s">
        <v>483</v>
      </c>
      <c r="H133" s="5" t="s">
        <v>484</v>
      </c>
      <c r="I133" s="5" t="s">
        <v>485</v>
      </c>
      <c r="J133" s="5" t="s">
        <v>70</v>
      </c>
      <c r="K133" s="1">
        <v>14008</v>
      </c>
      <c r="L133" s="3" t="s">
        <v>486</v>
      </c>
      <c r="M133" s="3" t="s">
        <v>487</v>
      </c>
      <c r="N133" s="3">
        <v>14</v>
      </c>
      <c r="O133" s="29" t="s">
        <v>492</v>
      </c>
      <c r="P133" s="25">
        <v>239</v>
      </c>
      <c r="Q133" s="29">
        <v>239</v>
      </c>
      <c r="R133" s="29" t="s">
        <v>74</v>
      </c>
      <c r="S133" s="3">
        <v>2</v>
      </c>
      <c r="T133" s="3">
        <v>0</v>
      </c>
      <c r="U133" s="3">
        <v>0</v>
      </c>
      <c r="V133" s="3" t="s">
        <v>66</v>
      </c>
      <c r="W133" s="3">
        <v>0</v>
      </c>
      <c r="X133" s="3">
        <v>1</v>
      </c>
      <c r="Y133" s="3">
        <v>0</v>
      </c>
      <c r="Z133" s="29">
        <v>10</v>
      </c>
      <c r="AA133" s="3">
        <f t="shared" si="0"/>
        <v>0</v>
      </c>
      <c r="AB133" s="21"/>
      <c r="AC133" s="21"/>
      <c r="AD133" s="21"/>
      <c r="AE133" s="3" t="s">
        <v>76</v>
      </c>
      <c r="AF133" s="3">
        <v>4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 t="s">
        <v>493</v>
      </c>
    </row>
    <row r="134" spans="1:52">
      <c r="A134" s="3" t="s">
        <v>346</v>
      </c>
      <c r="B134" s="3" t="s">
        <v>481</v>
      </c>
      <c r="C134" s="3" t="s">
        <v>482</v>
      </c>
      <c r="D134" s="3" t="s">
        <v>65</v>
      </c>
      <c r="E134" s="4">
        <v>45910</v>
      </c>
      <c r="F134" s="1" t="s">
        <v>66</v>
      </c>
      <c r="G134" s="3" t="s">
        <v>483</v>
      </c>
      <c r="H134" s="5" t="s">
        <v>484</v>
      </c>
      <c r="I134" s="5" t="s">
        <v>485</v>
      </c>
      <c r="J134" s="5" t="s">
        <v>70</v>
      </c>
      <c r="K134" s="1">
        <v>14008</v>
      </c>
      <c r="L134" s="3" t="s">
        <v>486</v>
      </c>
      <c r="M134" s="3" t="s">
        <v>487</v>
      </c>
      <c r="N134" s="3">
        <v>14</v>
      </c>
      <c r="O134" s="29" t="s">
        <v>494</v>
      </c>
      <c r="P134" s="25">
        <v>240</v>
      </c>
      <c r="Q134" s="29">
        <v>240</v>
      </c>
      <c r="R134" s="29" t="s">
        <v>74</v>
      </c>
      <c r="S134" s="3">
        <v>3</v>
      </c>
      <c r="T134" s="3">
        <v>0</v>
      </c>
      <c r="U134" s="3">
        <v>0</v>
      </c>
      <c r="V134" s="3" t="s">
        <v>66</v>
      </c>
      <c r="W134" s="3">
        <v>0</v>
      </c>
      <c r="X134" s="3">
        <v>1</v>
      </c>
      <c r="Y134" s="3">
        <v>0</v>
      </c>
      <c r="Z134" s="29">
        <v>10</v>
      </c>
      <c r="AA134" s="3">
        <f t="shared" si="0"/>
        <v>0</v>
      </c>
      <c r="AB134" s="21"/>
      <c r="AC134" s="21"/>
      <c r="AD134" s="21"/>
      <c r="AE134" s="3" t="s">
        <v>76</v>
      </c>
      <c r="AF134" s="3">
        <v>3.5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1</v>
      </c>
      <c r="AT134" s="3">
        <v>1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 t="s">
        <v>495</v>
      </c>
    </row>
    <row r="135" spans="1:52">
      <c r="A135" s="3" t="s">
        <v>346</v>
      </c>
      <c r="B135" s="1" t="s">
        <v>496</v>
      </c>
      <c r="C135" s="1" t="s">
        <v>497</v>
      </c>
      <c r="D135" s="3" t="s">
        <v>188</v>
      </c>
      <c r="E135" s="4">
        <v>45910</v>
      </c>
      <c r="F135" s="1" t="s">
        <v>66</v>
      </c>
      <c r="G135" s="11" t="s">
        <v>498</v>
      </c>
      <c r="H135" s="1" t="s">
        <v>499</v>
      </c>
      <c r="I135" s="5" t="s">
        <v>500</v>
      </c>
      <c r="J135" s="5" t="s">
        <v>70</v>
      </c>
      <c r="K135" s="1">
        <v>13132</v>
      </c>
      <c r="L135" s="6" t="s">
        <v>501</v>
      </c>
      <c r="M135" s="6" t="s">
        <v>502</v>
      </c>
      <c r="N135" s="26"/>
      <c r="O135" s="3" t="s">
        <v>503</v>
      </c>
      <c r="P135" s="3">
        <v>133</v>
      </c>
      <c r="Q135" s="3">
        <v>133</v>
      </c>
      <c r="R135" s="3" t="s">
        <v>74</v>
      </c>
      <c r="S135" s="3">
        <v>2</v>
      </c>
      <c r="T135" s="3">
        <v>0</v>
      </c>
      <c r="U135" s="3">
        <v>0</v>
      </c>
      <c r="V135" s="3" t="s">
        <v>66</v>
      </c>
      <c r="W135" s="3">
        <v>0</v>
      </c>
      <c r="X135" s="3">
        <v>2</v>
      </c>
      <c r="Y135" s="3">
        <v>0</v>
      </c>
      <c r="Z135" s="3">
        <v>10</v>
      </c>
      <c r="AA135" s="3">
        <f t="shared" si="0"/>
        <v>0</v>
      </c>
      <c r="AB135" s="21"/>
      <c r="AC135" s="21"/>
      <c r="AD135" s="21"/>
      <c r="AE135" s="3" t="s">
        <v>76</v>
      </c>
      <c r="AF135" s="3">
        <v>4.5</v>
      </c>
      <c r="AG135" s="3">
        <v>0</v>
      </c>
      <c r="AH135" s="3">
        <v>0</v>
      </c>
      <c r="AI135" s="3">
        <v>0</v>
      </c>
      <c r="AJ135" s="3">
        <v>1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1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 t="s">
        <v>504</v>
      </c>
    </row>
    <row r="136" spans="1:52">
      <c r="A136" s="3" t="s">
        <v>346</v>
      </c>
      <c r="B136" s="1" t="s">
        <v>496</v>
      </c>
      <c r="C136" s="1" t="s">
        <v>497</v>
      </c>
      <c r="D136" s="3" t="s">
        <v>188</v>
      </c>
      <c r="E136" s="4">
        <v>45910</v>
      </c>
      <c r="F136" s="23" t="s">
        <v>66</v>
      </c>
      <c r="G136" s="11" t="s">
        <v>498</v>
      </c>
      <c r="H136" s="1" t="s">
        <v>499</v>
      </c>
      <c r="I136" s="5" t="s">
        <v>500</v>
      </c>
      <c r="J136" s="5" t="s">
        <v>70</v>
      </c>
      <c r="K136" s="1">
        <v>13132</v>
      </c>
      <c r="L136" s="6" t="s">
        <v>501</v>
      </c>
      <c r="M136" s="6" t="s">
        <v>502</v>
      </c>
      <c r="N136" s="26"/>
      <c r="O136" s="3" t="s">
        <v>505</v>
      </c>
      <c r="P136" s="3">
        <v>134</v>
      </c>
      <c r="Q136" s="3">
        <v>134</v>
      </c>
      <c r="R136" s="3" t="s">
        <v>74</v>
      </c>
      <c r="S136" s="3">
        <v>2</v>
      </c>
      <c r="T136" s="3">
        <v>0</v>
      </c>
      <c r="U136" s="3">
        <v>0</v>
      </c>
      <c r="V136" s="3" t="s">
        <v>66</v>
      </c>
      <c r="W136" s="3">
        <v>0</v>
      </c>
      <c r="X136" s="3">
        <v>2</v>
      </c>
      <c r="Y136" s="3">
        <v>0</v>
      </c>
      <c r="Z136" s="3">
        <v>10</v>
      </c>
      <c r="AA136" s="3">
        <f t="shared" si="0"/>
        <v>0</v>
      </c>
      <c r="AB136" s="21"/>
      <c r="AC136" s="21"/>
      <c r="AD136" s="21"/>
      <c r="AE136" s="3" t="s">
        <v>287</v>
      </c>
      <c r="AF136" s="3">
        <v>4.5</v>
      </c>
      <c r="AG136" s="3">
        <v>0</v>
      </c>
      <c r="AH136" s="3">
        <v>0</v>
      </c>
      <c r="AI136" s="3">
        <v>0</v>
      </c>
      <c r="AJ136" s="3">
        <v>1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1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 t="s">
        <v>506</v>
      </c>
    </row>
    <row r="137" spans="1:52">
      <c r="A137" s="3" t="s">
        <v>346</v>
      </c>
      <c r="B137" s="1" t="s">
        <v>496</v>
      </c>
      <c r="C137" s="1" t="s">
        <v>497</v>
      </c>
      <c r="D137" s="3" t="s">
        <v>188</v>
      </c>
      <c r="E137" s="4">
        <v>45910</v>
      </c>
      <c r="F137" s="23" t="s">
        <v>66</v>
      </c>
      <c r="G137" s="11" t="s">
        <v>498</v>
      </c>
      <c r="H137" s="1" t="s">
        <v>499</v>
      </c>
      <c r="I137" s="5" t="s">
        <v>500</v>
      </c>
      <c r="J137" s="5" t="s">
        <v>70</v>
      </c>
      <c r="K137" s="1">
        <v>13132</v>
      </c>
      <c r="L137" s="6" t="s">
        <v>501</v>
      </c>
      <c r="M137" s="6" t="s">
        <v>502</v>
      </c>
      <c r="N137" s="26"/>
      <c r="O137" s="3" t="s">
        <v>507</v>
      </c>
      <c r="P137" s="3">
        <v>135</v>
      </c>
      <c r="Q137" s="3">
        <v>135</v>
      </c>
      <c r="R137" s="3" t="s">
        <v>74</v>
      </c>
      <c r="S137" s="3">
        <v>2</v>
      </c>
      <c r="T137" s="3">
        <v>0</v>
      </c>
      <c r="U137" s="3">
        <v>0</v>
      </c>
      <c r="V137" s="3" t="s">
        <v>66</v>
      </c>
      <c r="W137" s="3">
        <v>0</v>
      </c>
      <c r="X137" s="3">
        <v>0</v>
      </c>
      <c r="Y137" s="3">
        <v>0</v>
      </c>
      <c r="Z137" s="3">
        <v>10</v>
      </c>
      <c r="AA137" s="3">
        <f t="shared" si="0"/>
        <v>0</v>
      </c>
      <c r="AB137" s="21"/>
      <c r="AC137" s="21"/>
      <c r="AD137" s="21"/>
      <c r="AE137" s="3" t="s">
        <v>287</v>
      </c>
      <c r="AF137" s="3">
        <v>3</v>
      </c>
      <c r="AG137" s="3">
        <v>0</v>
      </c>
      <c r="AH137" s="3">
        <v>0</v>
      </c>
      <c r="AI137" s="3">
        <v>0</v>
      </c>
      <c r="AJ137" s="3">
        <v>1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1</v>
      </c>
      <c r="AT137" s="3">
        <v>1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 t="s">
        <v>508</v>
      </c>
    </row>
    <row r="138" spans="1:52">
      <c r="A138" s="3" t="s">
        <v>346</v>
      </c>
      <c r="B138" s="1" t="s">
        <v>496</v>
      </c>
      <c r="C138" s="1" t="s">
        <v>497</v>
      </c>
      <c r="D138" s="3" t="s">
        <v>188</v>
      </c>
      <c r="E138" s="4">
        <v>45910</v>
      </c>
      <c r="F138" s="23" t="s">
        <v>66</v>
      </c>
      <c r="G138" s="11" t="s">
        <v>498</v>
      </c>
      <c r="H138" s="1" t="s">
        <v>499</v>
      </c>
      <c r="I138" s="5" t="s">
        <v>500</v>
      </c>
      <c r="J138" s="5" t="s">
        <v>70</v>
      </c>
      <c r="K138" s="1">
        <v>13132</v>
      </c>
      <c r="L138" s="6" t="s">
        <v>501</v>
      </c>
      <c r="M138" s="6" t="s">
        <v>502</v>
      </c>
      <c r="N138" s="26"/>
      <c r="O138" s="3" t="s">
        <v>509</v>
      </c>
      <c r="P138" s="3">
        <v>136</v>
      </c>
      <c r="Q138" s="3">
        <v>136</v>
      </c>
      <c r="R138" s="3" t="s">
        <v>74</v>
      </c>
      <c r="S138" s="3">
        <v>2</v>
      </c>
      <c r="T138" s="3">
        <v>0</v>
      </c>
      <c r="U138" s="3">
        <v>0</v>
      </c>
      <c r="V138" s="3" t="s">
        <v>66</v>
      </c>
      <c r="W138" s="3">
        <v>0</v>
      </c>
      <c r="X138" s="3">
        <v>0</v>
      </c>
      <c r="Y138" s="3">
        <v>0</v>
      </c>
      <c r="Z138" s="3">
        <v>10</v>
      </c>
      <c r="AA138" s="3">
        <f t="shared" si="0"/>
        <v>0</v>
      </c>
      <c r="AB138" s="21"/>
      <c r="AC138" s="21"/>
      <c r="AD138" s="21"/>
      <c r="AE138" s="3" t="s">
        <v>287</v>
      </c>
      <c r="AF138" s="3">
        <v>4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1</v>
      </c>
      <c r="AS138" s="3">
        <v>1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 t="s">
        <v>510</v>
      </c>
    </row>
    <row r="139" spans="1:52">
      <c r="A139" s="3" t="s">
        <v>346</v>
      </c>
      <c r="B139" s="1" t="s">
        <v>511</v>
      </c>
      <c r="C139" s="1" t="s">
        <v>512</v>
      </c>
      <c r="D139" s="3" t="s">
        <v>188</v>
      </c>
      <c r="E139" s="8">
        <v>45911</v>
      </c>
      <c r="F139" s="23" t="s">
        <v>66</v>
      </c>
      <c r="G139" s="11" t="s">
        <v>513</v>
      </c>
      <c r="H139" s="1" t="s">
        <v>514</v>
      </c>
      <c r="I139" s="5" t="s">
        <v>515</v>
      </c>
      <c r="J139" s="5" t="s">
        <v>70</v>
      </c>
      <c r="K139" s="1">
        <v>14075</v>
      </c>
      <c r="L139" s="6">
        <v>42.678600000000003</v>
      </c>
      <c r="M139" s="6">
        <v>-78.790800000000004</v>
      </c>
      <c r="N139" s="24">
        <v>20</v>
      </c>
      <c r="O139" s="12" t="s">
        <v>516</v>
      </c>
      <c r="P139" s="3">
        <v>129</v>
      </c>
      <c r="Q139" s="3">
        <v>129</v>
      </c>
      <c r="R139" s="3" t="s">
        <v>74</v>
      </c>
      <c r="S139" s="3">
        <v>2</v>
      </c>
      <c r="T139" s="3">
        <v>0</v>
      </c>
      <c r="U139" s="3">
        <v>0</v>
      </c>
      <c r="V139" s="3" t="s">
        <v>75</v>
      </c>
      <c r="W139" s="3">
        <v>0</v>
      </c>
      <c r="X139" s="3">
        <v>0</v>
      </c>
      <c r="Y139" s="3">
        <v>0</v>
      </c>
      <c r="Z139" s="29">
        <v>10</v>
      </c>
      <c r="AA139" s="3">
        <f t="shared" si="0"/>
        <v>0</v>
      </c>
      <c r="AB139" s="21"/>
      <c r="AC139" s="21"/>
      <c r="AD139" s="21"/>
      <c r="AE139" s="3" t="s">
        <v>287</v>
      </c>
      <c r="AF139" s="3">
        <v>3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1</v>
      </c>
      <c r="AR139" s="3">
        <v>0</v>
      </c>
      <c r="AS139" s="3">
        <v>1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 t="s">
        <v>517</v>
      </c>
    </row>
    <row r="140" spans="1:52">
      <c r="A140" s="3" t="s">
        <v>346</v>
      </c>
      <c r="B140" s="1" t="s">
        <v>511</v>
      </c>
      <c r="C140" s="1" t="s">
        <v>512</v>
      </c>
      <c r="D140" s="3" t="s">
        <v>188</v>
      </c>
      <c r="E140" s="8">
        <v>45911</v>
      </c>
      <c r="F140" s="23" t="s">
        <v>66</v>
      </c>
      <c r="G140" s="11" t="s">
        <v>513</v>
      </c>
      <c r="H140" s="1" t="s">
        <v>518</v>
      </c>
      <c r="I140" s="5" t="s">
        <v>515</v>
      </c>
      <c r="J140" s="5" t="s">
        <v>70</v>
      </c>
      <c r="K140" s="1">
        <v>14075</v>
      </c>
      <c r="L140" s="6">
        <v>42.678600000000003</v>
      </c>
      <c r="M140" s="6">
        <v>-78.790800000000004</v>
      </c>
      <c r="N140" s="24">
        <v>20</v>
      </c>
      <c r="O140" s="12" t="s">
        <v>519</v>
      </c>
      <c r="P140" s="3">
        <v>130</v>
      </c>
      <c r="Q140" s="3">
        <v>130</v>
      </c>
      <c r="R140" s="3" t="s">
        <v>74</v>
      </c>
      <c r="S140" s="3">
        <v>2</v>
      </c>
      <c r="T140" s="3">
        <v>0</v>
      </c>
      <c r="U140" s="3">
        <v>0</v>
      </c>
      <c r="V140" s="3" t="s">
        <v>75</v>
      </c>
      <c r="W140" s="3">
        <v>0</v>
      </c>
      <c r="X140" s="3">
        <v>2</v>
      </c>
      <c r="Y140" s="3">
        <v>0</v>
      </c>
      <c r="Z140" s="29">
        <v>10</v>
      </c>
      <c r="AA140" s="3">
        <f t="shared" si="0"/>
        <v>0</v>
      </c>
      <c r="AB140" s="21"/>
      <c r="AC140" s="21"/>
      <c r="AD140" s="21"/>
      <c r="AE140" s="3" t="s">
        <v>76</v>
      </c>
      <c r="AF140" s="3">
        <v>4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 t="s">
        <v>493</v>
      </c>
    </row>
    <row r="141" spans="1:52">
      <c r="A141" s="3" t="s">
        <v>346</v>
      </c>
      <c r="B141" s="1" t="s">
        <v>511</v>
      </c>
      <c r="C141" s="1" t="s">
        <v>512</v>
      </c>
      <c r="D141" s="3" t="s">
        <v>188</v>
      </c>
      <c r="E141" s="8">
        <v>45911</v>
      </c>
      <c r="F141" s="23" t="s">
        <v>66</v>
      </c>
      <c r="G141" s="11" t="s">
        <v>513</v>
      </c>
      <c r="H141" s="1" t="s">
        <v>520</v>
      </c>
      <c r="I141" s="5" t="s">
        <v>515</v>
      </c>
      <c r="J141" s="5" t="s">
        <v>70</v>
      </c>
      <c r="K141" s="1">
        <v>14075</v>
      </c>
      <c r="L141" s="6">
        <v>42.678600000000003</v>
      </c>
      <c r="M141" s="6">
        <v>-78.790800000000004</v>
      </c>
      <c r="N141" s="24">
        <v>20</v>
      </c>
      <c r="O141" s="12" t="s">
        <v>521</v>
      </c>
      <c r="P141" s="3">
        <v>131</v>
      </c>
      <c r="Q141" s="3">
        <v>131</v>
      </c>
      <c r="R141" s="3" t="s">
        <v>74</v>
      </c>
      <c r="S141" s="3">
        <v>2</v>
      </c>
      <c r="T141" s="3">
        <v>0</v>
      </c>
      <c r="U141" s="3">
        <v>0</v>
      </c>
      <c r="V141" s="3" t="s">
        <v>75</v>
      </c>
      <c r="W141" s="3">
        <v>0</v>
      </c>
      <c r="X141" s="3">
        <v>2</v>
      </c>
      <c r="Y141" s="3">
        <v>0</v>
      </c>
      <c r="Z141" s="29">
        <v>10</v>
      </c>
      <c r="AA141" s="3">
        <f t="shared" si="0"/>
        <v>0</v>
      </c>
      <c r="AB141" s="21"/>
      <c r="AC141" s="21"/>
      <c r="AD141" s="21"/>
      <c r="AE141" s="3" t="s">
        <v>287</v>
      </c>
      <c r="AF141" s="3">
        <v>3.5</v>
      </c>
      <c r="AG141" s="3">
        <v>0</v>
      </c>
      <c r="AH141" s="3">
        <v>0</v>
      </c>
      <c r="AI141" s="3">
        <v>0</v>
      </c>
      <c r="AJ141" s="3">
        <v>1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 t="s">
        <v>522</v>
      </c>
    </row>
    <row r="142" spans="1:52">
      <c r="A142" s="3" t="s">
        <v>346</v>
      </c>
      <c r="B142" s="1" t="s">
        <v>511</v>
      </c>
      <c r="C142" s="1" t="s">
        <v>512</v>
      </c>
      <c r="D142" s="3" t="s">
        <v>188</v>
      </c>
      <c r="E142" s="8">
        <v>45911</v>
      </c>
      <c r="F142" s="23" t="s">
        <v>66</v>
      </c>
      <c r="G142" s="11" t="s">
        <v>513</v>
      </c>
      <c r="H142" s="1" t="s">
        <v>523</v>
      </c>
      <c r="I142" s="5" t="s">
        <v>515</v>
      </c>
      <c r="J142" s="5" t="s">
        <v>70</v>
      </c>
      <c r="K142" s="1">
        <v>14075</v>
      </c>
      <c r="L142" s="6">
        <v>42.678600000000003</v>
      </c>
      <c r="M142" s="6">
        <v>-78.790800000000004</v>
      </c>
      <c r="N142" s="24">
        <v>20</v>
      </c>
      <c r="O142" s="12" t="s">
        <v>524</v>
      </c>
      <c r="P142" s="3">
        <v>132</v>
      </c>
      <c r="Q142" s="3">
        <v>132</v>
      </c>
      <c r="R142" s="3" t="s">
        <v>74</v>
      </c>
      <c r="S142" s="3">
        <v>2</v>
      </c>
      <c r="T142" s="3">
        <v>0</v>
      </c>
      <c r="U142" s="3">
        <v>0</v>
      </c>
      <c r="V142" s="3" t="s">
        <v>75</v>
      </c>
      <c r="W142" s="3">
        <v>0</v>
      </c>
      <c r="X142" s="3">
        <v>2</v>
      </c>
      <c r="Y142" s="3">
        <v>0</v>
      </c>
      <c r="Z142" s="29">
        <v>10</v>
      </c>
      <c r="AA142" s="3">
        <f t="shared" si="0"/>
        <v>0</v>
      </c>
      <c r="AB142" s="21"/>
      <c r="AC142" s="21"/>
      <c r="AD142" s="21"/>
      <c r="AE142" s="3" t="s">
        <v>76</v>
      </c>
      <c r="AF142" s="3">
        <v>3.5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1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 t="s">
        <v>504</v>
      </c>
    </row>
    <row r="143" spans="1:52">
      <c r="A143" s="3" t="s">
        <v>346</v>
      </c>
      <c r="B143" s="1" t="s">
        <v>525</v>
      </c>
      <c r="C143" s="1" t="s">
        <v>526</v>
      </c>
      <c r="D143" s="3" t="s">
        <v>188</v>
      </c>
      <c r="E143" s="8">
        <v>45911</v>
      </c>
      <c r="F143" s="1" t="s">
        <v>66</v>
      </c>
      <c r="G143" s="11" t="s">
        <v>527</v>
      </c>
      <c r="H143" s="1" t="s">
        <v>528</v>
      </c>
      <c r="I143" s="5" t="s">
        <v>529</v>
      </c>
      <c r="J143" s="5" t="s">
        <v>70</v>
      </c>
      <c r="K143" s="1">
        <v>14170</v>
      </c>
      <c r="L143" s="6" t="s">
        <v>530</v>
      </c>
      <c r="M143" s="6" t="s">
        <v>531</v>
      </c>
      <c r="N143" s="24">
        <v>20</v>
      </c>
      <c r="O143" s="3" t="s">
        <v>532</v>
      </c>
      <c r="P143" s="25">
        <v>137</v>
      </c>
      <c r="Q143" s="29">
        <v>126</v>
      </c>
      <c r="R143" s="29" t="s">
        <v>74</v>
      </c>
      <c r="S143" s="3">
        <v>2</v>
      </c>
      <c r="T143" s="3">
        <v>0</v>
      </c>
      <c r="U143" s="3">
        <v>0</v>
      </c>
      <c r="V143" s="3" t="s">
        <v>75</v>
      </c>
      <c r="W143" s="3">
        <v>0</v>
      </c>
      <c r="X143" s="3">
        <v>2</v>
      </c>
      <c r="Y143" s="3">
        <v>0</v>
      </c>
      <c r="Z143" s="29">
        <v>10</v>
      </c>
      <c r="AA143" s="3">
        <f t="shared" si="0"/>
        <v>0</v>
      </c>
      <c r="AB143" s="21"/>
      <c r="AC143" s="21"/>
      <c r="AD143" s="21"/>
      <c r="AE143" s="3" t="s">
        <v>76</v>
      </c>
      <c r="AF143" s="3">
        <v>3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 t="s">
        <v>504</v>
      </c>
    </row>
    <row r="144" spans="1:52">
      <c r="A144" s="3" t="s">
        <v>346</v>
      </c>
      <c r="B144" s="1" t="s">
        <v>525</v>
      </c>
      <c r="C144" s="1" t="s">
        <v>526</v>
      </c>
      <c r="D144" s="3" t="s">
        <v>188</v>
      </c>
      <c r="E144" s="8">
        <v>45911</v>
      </c>
      <c r="F144" s="1" t="s">
        <v>66</v>
      </c>
      <c r="G144" s="11" t="s">
        <v>527</v>
      </c>
      <c r="H144" s="1" t="s">
        <v>528</v>
      </c>
      <c r="I144" s="5" t="s">
        <v>529</v>
      </c>
      <c r="J144" s="5" t="s">
        <v>70</v>
      </c>
      <c r="K144" s="1">
        <v>14170</v>
      </c>
      <c r="L144" s="6" t="s">
        <v>530</v>
      </c>
      <c r="M144" s="6" t="s">
        <v>531</v>
      </c>
      <c r="N144" s="24">
        <v>20</v>
      </c>
      <c r="O144" s="3" t="s">
        <v>533</v>
      </c>
      <c r="P144" s="25">
        <v>138</v>
      </c>
      <c r="Q144" s="29">
        <v>127</v>
      </c>
      <c r="R144" s="29" t="s">
        <v>74</v>
      </c>
      <c r="S144" s="3">
        <v>2</v>
      </c>
      <c r="T144" s="3">
        <v>0</v>
      </c>
      <c r="U144" s="3">
        <v>0</v>
      </c>
      <c r="V144" s="3" t="s">
        <v>75</v>
      </c>
      <c r="W144" s="3">
        <v>0</v>
      </c>
      <c r="X144" s="3">
        <v>3</v>
      </c>
      <c r="Y144" s="3">
        <v>0</v>
      </c>
      <c r="Z144" s="29">
        <v>10</v>
      </c>
      <c r="AA144" s="3">
        <f t="shared" si="0"/>
        <v>0</v>
      </c>
      <c r="AB144" s="21"/>
      <c r="AC144" s="21"/>
      <c r="AD144" s="21"/>
      <c r="AE144" s="3" t="s">
        <v>76</v>
      </c>
      <c r="AF144" s="3">
        <v>4.5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1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 t="s">
        <v>534</v>
      </c>
    </row>
    <row r="145" spans="1:52">
      <c r="A145" s="3" t="s">
        <v>346</v>
      </c>
      <c r="B145" s="1" t="s">
        <v>525</v>
      </c>
      <c r="C145" s="1" t="s">
        <v>526</v>
      </c>
      <c r="D145" s="3" t="s">
        <v>188</v>
      </c>
      <c r="E145" s="8">
        <v>45911</v>
      </c>
      <c r="F145" s="1" t="s">
        <v>66</v>
      </c>
      <c r="G145" s="11" t="s">
        <v>527</v>
      </c>
      <c r="H145" s="1" t="s">
        <v>528</v>
      </c>
      <c r="I145" s="5" t="s">
        <v>529</v>
      </c>
      <c r="J145" s="5" t="s">
        <v>70</v>
      </c>
      <c r="K145" s="1">
        <v>14170</v>
      </c>
      <c r="L145" s="6" t="s">
        <v>530</v>
      </c>
      <c r="M145" s="6" t="s">
        <v>531</v>
      </c>
      <c r="N145" s="24">
        <v>20</v>
      </c>
      <c r="O145" s="3" t="s">
        <v>535</v>
      </c>
      <c r="P145" s="25">
        <v>139</v>
      </c>
      <c r="Q145" s="29">
        <v>128</v>
      </c>
      <c r="R145" s="29" t="s">
        <v>74</v>
      </c>
      <c r="S145" s="3">
        <v>2</v>
      </c>
      <c r="T145" s="3">
        <v>0</v>
      </c>
      <c r="U145" s="3">
        <v>0</v>
      </c>
      <c r="V145" s="3" t="s">
        <v>75</v>
      </c>
      <c r="W145" s="3">
        <v>0</v>
      </c>
      <c r="X145" s="3">
        <v>1</v>
      </c>
      <c r="Y145" s="3">
        <v>0</v>
      </c>
      <c r="Z145" s="29">
        <v>10</v>
      </c>
      <c r="AA145" s="3">
        <f t="shared" si="0"/>
        <v>0</v>
      </c>
      <c r="AB145" s="21"/>
      <c r="AC145" s="21"/>
      <c r="AD145" s="21"/>
      <c r="AE145" s="3" t="s">
        <v>76</v>
      </c>
      <c r="AF145" s="3">
        <v>5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 t="s">
        <v>536</v>
      </c>
    </row>
    <row r="146" spans="1:52">
      <c r="A146" s="3" t="s">
        <v>346</v>
      </c>
      <c r="B146" s="1" t="s">
        <v>525</v>
      </c>
      <c r="C146" s="1" t="s">
        <v>526</v>
      </c>
      <c r="D146" s="3" t="s">
        <v>188</v>
      </c>
      <c r="E146" s="8">
        <v>45911</v>
      </c>
      <c r="F146" s="1" t="s">
        <v>66</v>
      </c>
      <c r="G146" s="11" t="s">
        <v>527</v>
      </c>
      <c r="H146" s="1" t="s">
        <v>528</v>
      </c>
      <c r="I146" s="5" t="s">
        <v>529</v>
      </c>
      <c r="J146" s="5" t="s">
        <v>70</v>
      </c>
      <c r="K146" s="1">
        <v>14170</v>
      </c>
      <c r="L146" s="6" t="s">
        <v>530</v>
      </c>
      <c r="M146" s="6" t="s">
        <v>531</v>
      </c>
      <c r="N146" s="24">
        <v>20</v>
      </c>
      <c r="O146" s="3" t="s">
        <v>537</v>
      </c>
      <c r="P146" s="25">
        <v>140</v>
      </c>
      <c r="Q146" s="29">
        <v>129</v>
      </c>
      <c r="R146" s="29" t="s">
        <v>74</v>
      </c>
      <c r="S146" s="3">
        <v>2</v>
      </c>
      <c r="T146" s="3">
        <v>0</v>
      </c>
      <c r="U146" s="3">
        <v>0</v>
      </c>
      <c r="V146" s="3" t="s">
        <v>75</v>
      </c>
      <c r="W146" s="3">
        <v>0</v>
      </c>
      <c r="X146" s="3">
        <v>2</v>
      </c>
      <c r="Y146" s="3">
        <v>0</v>
      </c>
      <c r="Z146" s="29">
        <v>10</v>
      </c>
      <c r="AA146" s="3">
        <f t="shared" si="0"/>
        <v>0</v>
      </c>
      <c r="AB146" s="21"/>
      <c r="AC146" s="21"/>
      <c r="AD146" s="21"/>
      <c r="AE146" s="3" t="s">
        <v>76</v>
      </c>
      <c r="AF146" s="3">
        <v>3.5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1</v>
      </c>
      <c r="AS146" s="3">
        <v>1</v>
      </c>
      <c r="AT146" s="3">
        <v>1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</row>
    <row r="147" spans="1:52">
      <c r="A147" s="3" t="s">
        <v>346</v>
      </c>
      <c r="B147" s="3" t="s">
        <v>538</v>
      </c>
      <c r="C147" s="3" t="s">
        <v>539</v>
      </c>
      <c r="D147" s="3" t="s">
        <v>167</v>
      </c>
      <c r="E147" s="4">
        <v>45912</v>
      </c>
      <c r="F147" s="3" t="s">
        <v>66</v>
      </c>
      <c r="G147" s="3" t="s">
        <v>540</v>
      </c>
      <c r="H147" s="5" t="s">
        <v>541</v>
      </c>
      <c r="I147" s="5" t="s">
        <v>542</v>
      </c>
      <c r="J147" s="5" t="s">
        <v>70</v>
      </c>
      <c r="K147" s="3">
        <v>14034</v>
      </c>
      <c r="L147" s="3" t="s">
        <v>543</v>
      </c>
      <c r="M147" s="3" t="s">
        <v>544</v>
      </c>
      <c r="N147" s="3">
        <v>74</v>
      </c>
      <c r="O147" s="3" t="s">
        <v>545</v>
      </c>
      <c r="P147" s="3">
        <v>380</v>
      </c>
      <c r="Q147" s="21">
        <v>380</v>
      </c>
      <c r="R147" s="3" t="s">
        <v>74</v>
      </c>
      <c r="S147" s="3">
        <v>1</v>
      </c>
      <c r="T147" s="3">
        <v>1</v>
      </c>
      <c r="U147" s="3">
        <v>0</v>
      </c>
      <c r="V147" s="3" t="s">
        <v>66</v>
      </c>
      <c r="W147" s="3">
        <v>0</v>
      </c>
      <c r="X147" s="3">
        <v>3</v>
      </c>
      <c r="Y147" s="3">
        <v>0</v>
      </c>
      <c r="Z147" s="3">
        <v>10</v>
      </c>
      <c r="AA147" s="3">
        <f t="shared" si="0"/>
        <v>0</v>
      </c>
      <c r="AB147" s="21"/>
      <c r="AC147" s="21"/>
      <c r="AD147" s="21"/>
      <c r="AE147" s="3" t="s">
        <v>76</v>
      </c>
      <c r="AF147" s="3">
        <v>16</v>
      </c>
      <c r="AG147" s="3">
        <v>1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1</v>
      </c>
      <c r="AR147" s="3">
        <v>1</v>
      </c>
      <c r="AS147" s="3">
        <v>1</v>
      </c>
      <c r="AT147" s="3">
        <v>1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 t="s">
        <v>546</v>
      </c>
    </row>
    <row r="148" spans="1:52">
      <c r="A148" s="3" t="s">
        <v>346</v>
      </c>
      <c r="B148" s="3" t="s">
        <v>538</v>
      </c>
      <c r="C148" s="3" t="s">
        <v>539</v>
      </c>
      <c r="D148" s="3" t="s">
        <v>167</v>
      </c>
      <c r="E148" s="4">
        <v>45912</v>
      </c>
      <c r="F148" s="3" t="s">
        <v>66</v>
      </c>
      <c r="G148" s="3" t="s">
        <v>540</v>
      </c>
      <c r="H148" s="5" t="s">
        <v>547</v>
      </c>
      <c r="I148" s="5" t="s">
        <v>542</v>
      </c>
      <c r="J148" s="5" t="s">
        <v>70</v>
      </c>
      <c r="K148" s="3">
        <v>14035</v>
      </c>
      <c r="L148" s="3" t="s">
        <v>543</v>
      </c>
      <c r="M148" s="3" t="s">
        <v>544</v>
      </c>
      <c r="N148" s="3">
        <v>74</v>
      </c>
      <c r="O148" s="3" t="s">
        <v>548</v>
      </c>
      <c r="P148" s="3">
        <v>381</v>
      </c>
      <c r="Q148" s="21">
        <v>381</v>
      </c>
      <c r="R148" s="3" t="s">
        <v>74</v>
      </c>
      <c r="S148" s="3">
        <v>1</v>
      </c>
      <c r="T148" s="3">
        <v>1</v>
      </c>
      <c r="U148" s="3">
        <v>0</v>
      </c>
      <c r="V148" s="3" t="s">
        <v>66</v>
      </c>
      <c r="W148" s="3">
        <v>1</v>
      </c>
      <c r="X148" s="3">
        <v>2</v>
      </c>
      <c r="Y148" s="3">
        <v>0</v>
      </c>
      <c r="Z148" s="3">
        <v>10</v>
      </c>
      <c r="AA148" s="3">
        <f t="shared" si="0"/>
        <v>0</v>
      </c>
      <c r="AB148" s="21"/>
      <c r="AC148" s="21"/>
      <c r="AD148" s="21"/>
      <c r="AE148" s="3" t="s">
        <v>76</v>
      </c>
      <c r="AF148" s="3">
        <v>14</v>
      </c>
      <c r="AG148" s="3">
        <v>1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1</v>
      </c>
      <c r="AS148" s="3">
        <v>1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1</v>
      </c>
      <c r="AZ148" s="3" t="s">
        <v>549</v>
      </c>
    </row>
    <row r="149" spans="1:52">
      <c r="A149" s="3" t="s">
        <v>346</v>
      </c>
      <c r="B149" s="3" t="s">
        <v>538</v>
      </c>
      <c r="C149" s="3" t="s">
        <v>539</v>
      </c>
      <c r="D149" s="3" t="s">
        <v>167</v>
      </c>
      <c r="E149" s="4">
        <v>45912</v>
      </c>
      <c r="F149" s="3" t="s">
        <v>66</v>
      </c>
      <c r="G149" s="3" t="s">
        <v>540</v>
      </c>
      <c r="H149" s="5" t="s">
        <v>550</v>
      </c>
      <c r="I149" s="5" t="s">
        <v>542</v>
      </c>
      <c r="J149" s="5" t="s">
        <v>70</v>
      </c>
      <c r="K149" s="3">
        <v>14036</v>
      </c>
      <c r="L149" s="3" t="s">
        <v>543</v>
      </c>
      <c r="M149" s="3" t="s">
        <v>544</v>
      </c>
      <c r="N149" s="3">
        <v>74</v>
      </c>
      <c r="O149" s="3" t="s">
        <v>551</v>
      </c>
      <c r="P149" s="3">
        <v>382</v>
      </c>
      <c r="Q149" s="21">
        <v>382</v>
      </c>
      <c r="R149" s="3" t="s">
        <v>74</v>
      </c>
      <c r="S149" s="3">
        <v>1</v>
      </c>
      <c r="T149" s="3">
        <v>1</v>
      </c>
      <c r="U149" s="3">
        <v>0</v>
      </c>
      <c r="V149" s="3" t="s">
        <v>66</v>
      </c>
      <c r="W149" s="3">
        <v>2</v>
      </c>
      <c r="X149" s="3">
        <v>0</v>
      </c>
      <c r="Y149" s="3">
        <v>0</v>
      </c>
      <c r="Z149" s="3">
        <v>10</v>
      </c>
      <c r="AA149" s="3">
        <f t="shared" si="0"/>
        <v>0</v>
      </c>
      <c r="AB149" s="21"/>
      <c r="AC149" s="21"/>
      <c r="AD149" s="21"/>
      <c r="AE149" s="3" t="s">
        <v>287</v>
      </c>
      <c r="AF149" s="3">
        <v>15.5</v>
      </c>
      <c r="AG149" s="3">
        <v>1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1</v>
      </c>
      <c r="AS149" s="3">
        <v>1</v>
      </c>
      <c r="AT149" s="3">
        <v>1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 t="s">
        <v>546</v>
      </c>
    </row>
    <row r="150" spans="1:52">
      <c r="A150" s="3" t="s">
        <v>346</v>
      </c>
      <c r="B150" s="3" t="s">
        <v>538</v>
      </c>
      <c r="C150" s="3" t="s">
        <v>539</v>
      </c>
      <c r="D150" s="3" t="s">
        <v>167</v>
      </c>
      <c r="E150" s="4">
        <v>45912</v>
      </c>
      <c r="F150" s="3" t="s">
        <v>66</v>
      </c>
      <c r="G150" s="3" t="s">
        <v>540</v>
      </c>
      <c r="H150" s="5" t="s">
        <v>552</v>
      </c>
      <c r="I150" s="5" t="s">
        <v>542</v>
      </c>
      <c r="J150" s="5" t="s">
        <v>70</v>
      </c>
      <c r="K150" s="3">
        <v>14037</v>
      </c>
      <c r="L150" s="3" t="s">
        <v>543</v>
      </c>
      <c r="M150" s="3" t="s">
        <v>544</v>
      </c>
      <c r="N150" s="3">
        <v>74</v>
      </c>
      <c r="O150" s="22" t="s">
        <v>553</v>
      </c>
      <c r="P150" s="3">
        <v>383</v>
      </c>
      <c r="Q150" s="21">
        <v>383</v>
      </c>
      <c r="R150" s="3" t="s">
        <v>74</v>
      </c>
      <c r="S150" s="3">
        <v>1</v>
      </c>
      <c r="T150" s="3">
        <v>1</v>
      </c>
      <c r="U150" s="3">
        <v>0</v>
      </c>
      <c r="V150" s="3" t="s">
        <v>66</v>
      </c>
      <c r="W150" s="3">
        <v>0</v>
      </c>
      <c r="X150" s="3">
        <v>4</v>
      </c>
      <c r="Y150" s="3">
        <v>0</v>
      </c>
      <c r="Z150" s="3">
        <v>10</v>
      </c>
      <c r="AA150" s="3">
        <f t="shared" si="0"/>
        <v>0</v>
      </c>
      <c r="AB150" s="21"/>
      <c r="AC150" s="21"/>
      <c r="AD150" s="21"/>
      <c r="AE150" s="3" t="s">
        <v>76</v>
      </c>
      <c r="AF150" s="3">
        <v>21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1</v>
      </c>
      <c r="AS150" s="3">
        <v>1</v>
      </c>
      <c r="AT150" s="3">
        <v>1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 t="s">
        <v>554</v>
      </c>
    </row>
    <row r="151" spans="1:52">
      <c r="A151" s="3" t="s">
        <v>346</v>
      </c>
      <c r="B151" s="3" t="s">
        <v>538</v>
      </c>
      <c r="C151" s="3" t="s">
        <v>539</v>
      </c>
      <c r="D151" s="3" t="s">
        <v>167</v>
      </c>
      <c r="E151" s="4">
        <v>45912</v>
      </c>
      <c r="F151" s="3" t="s">
        <v>66</v>
      </c>
      <c r="G151" s="3" t="s">
        <v>540</v>
      </c>
      <c r="H151" s="5" t="s">
        <v>555</v>
      </c>
      <c r="I151" s="5" t="s">
        <v>542</v>
      </c>
      <c r="J151" s="5" t="s">
        <v>70</v>
      </c>
      <c r="K151" s="3">
        <v>14038</v>
      </c>
      <c r="L151" s="3" t="s">
        <v>543</v>
      </c>
      <c r="M151" s="3" t="s">
        <v>544</v>
      </c>
      <c r="N151" s="3">
        <v>74</v>
      </c>
      <c r="O151" s="3" t="s">
        <v>556</v>
      </c>
      <c r="P151" s="3">
        <v>384</v>
      </c>
      <c r="Q151" s="21">
        <v>384</v>
      </c>
      <c r="R151" s="3" t="s">
        <v>74</v>
      </c>
      <c r="S151" s="3">
        <v>1</v>
      </c>
      <c r="T151" s="3">
        <v>1</v>
      </c>
      <c r="U151" s="3">
        <v>0</v>
      </c>
      <c r="V151" s="3" t="s">
        <v>66</v>
      </c>
      <c r="W151" s="3">
        <v>2</v>
      </c>
      <c r="X151" s="3">
        <v>0</v>
      </c>
      <c r="Y151" s="3">
        <v>0</v>
      </c>
      <c r="Z151" s="3">
        <v>10</v>
      </c>
      <c r="AA151" s="3">
        <f t="shared" si="0"/>
        <v>0</v>
      </c>
      <c r="AB151" s="21"/>
      <c r="AC151" s="21"/>
      <c r="AD151" s="21"/>
      <c r="AE151" s="3" t="s">
        <v>76</v>
      </c>
      <c r="AF151" s="3">
        <v>3.5</v>
      </c>
      <c r="AG151" s="3">
        <v>1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1</v>
      </c>
      <c r="AS151" s="3">
        <v>1</v>
      </c>
      <c r="AT151" s="3">
        <v>1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 t="s">
        <v>557</v>
      </c>
    </row>
    <row r="152" spans="1:52">
      <c r="A152" s="3" t="s">
        <v>346</v>
      </c>
      <c r="B152" s="3" t="s">
        <v>538</v>
      </c>
      <c r="C152" s="3" t="s">
        <v>539</v>
      </c>
      <c r="D152" s="3" t="s">
        <v>167</v>
      </c>
      <c r="E152" s="4">
        <v>45912</v>
      </c>
      <c r="F152" s="3" t="s">
        <v>66</v>
      </c>
      <c r="G152" s="3" t="s">
        <v>540</v>
      </c>
      <c r="H152" s="5" t="s">
        <v>558</v>
      </c>
      <c r="I152" s="5" t="s">
        <v>542</v>
      </c>
      <c r="J152" s="5" t="s">
        <v>70</v>
      </c>
      <c r="K152" s="3">
        <v>14039</v>
      </c>
      <c r="L152" s="3" t="s">
        <v>543</v>
      </c>
      <c r="M152" s="3" t="s">
        <v>544</v>
      </c>
      <c r="N152" s="3">
        <v>74</v>
      </c>
      <c r="O152" s="22" t="s">
        <v>559</v>
      </c>
      <c r="P152" s="3">
        <v>385</v>
      </c>
      <c r="Q152" s="21">
        <v>385</v>
      </c>
      <c r="R152" s="3" t="s">
        <v>74</v>
      </c>
      <c r="S152" s="3">
        <v>1</v>
      </c>
      <c r="T152" s="3">
        <v>1</v>
      </c>
      <c r="U152" s="3">
        <v>0</v>
      </c>
      <c r="V152" s="3" t="s">
        <v>66</v>
      </c>
      <c r="W152" s="3">
        <v>0</v>
      </c>
      <c r="X152" s="3">
        <v>2</v>
      </c>
      <c r="Y152" s="3">
        <v>0</v>
      </c>
      <c r="Z152" s="3">
        <v>10</v>
      </c>
      <c r="AA152" s="3">
        <f t="shared" ref="AA152:AA166" si="1">SUM(AB152:AD152)</f>
        <v>0</v>
      </c>
      <c r="AB152" s="21"/>
      <c r="AC152" s="21"/>
      <c r="AD152" s="21"/>
      <c r="AE152" s="3" t="s">
        <v>76</v>
      </c>
      <c r="AF152" s="3">
        <v>2.5</v>
      </c>
      <c r="AG152" s="3">
        <v>1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1</v>
      </c>
      <c r="AR152" s="3">
        <v>1</v>
      </c>
      <c r="AS152" s="3">
        <v>1</v>
      </c>
      <c r="AT152" s="3">
        <v>1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 t="s">
        <v>560</v>
      </c>
    </row>
    <row r="153" spans="1:52">
      <c r="A153" s="3" t="s">
        <v>346</v>
      </c>
      <c r="B153" s="3" t="s">
        <v>538</v>
      </c>
      <c r="C153" s="3" t="s">
        <v>539</v>
      </c>
      <c r="D153" s="3" t="s">
        <v>167</v>
      </c>
      <c r="E153" s="4">
        <v>45912</v>
      </c>
      <c r="F153" s="3" t="s">
        <v>66</v>
      </c>
      <c r="G153" s="3" t="s">
        <v>540</v>
      </c>
      <c r="H153" s="5" t="s">
        <v>561</v>
      </c>
      <c r="I153" s="5" t="s">
        <v>542</v>
      </c>
      <c r="J153" s="5" t="s">
        <v>70</v>
      </c>
      <c r="K153" s="3">
        <v>14040</v>
      </c>
      <c r="L153" s="3" t="s">
        <v>543</v>
      </c>
      <c r="M153" s="3" t="s">
        <v>544</v>
      </c>
      <c r="N153" s="3">
        <v>74</v>
      </c>
      <c r="O153" s="3" t="s">
        <v>562</v>
      </c>
      <c r="P153" s="3">
        <v>386</v>
      </c>
      <c r="Q153" s="21">
        <v>386</v>
      </c>
      <c r="R153" s="3" t="s">
        <v>74</v>
      </c>
      <c r="S153" s="3">
        <v>1</v>
      </c>
      <c r="T153" s="3">
        <v>1</v>
      </c>
      <c r="U153" s="3">
        <v>0</v>
      </c>
      <c r="V153" s="3" t="s">
        <v>66</v>
      </c>
      <c r="W153" s="3">
        <v>1</v>
      </c>
      <c r="X153" s="3">
        <v>2</v>
      </c>
      <c r="Y153" s="3">
        <v>0</v>
      </c>
      <c r="Z153" s="3">
        <v>10</v>
      </c>
      <c r="AA153" s="3">
        <f t="shared" si="1"/>
        <v>0</v>
      </c>
      <c r="AB153" s="21"/>
      <c r="AC153" s="21"/>
      <c r="AD153" s="21"/>
      <c r="AE153" s="3" t="s">
        <v>76</v>
      </c>
      <c r="AF153" s="3">
        <v>3.5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1</v>
      </c>
      <c r="AT153" s="3">
        <v>1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 t="s">
        <v>563</v>
      </c>
    </row>
    <row r="154" spans="1:52">
      <c r="A154" s="3" t="s">
        <v>346</v>
      </c>
      <c r="B154" s="3" t="s">
        <v>538</v>
      </c>
      <c r="C154" s="3" t="s">
        <v>539</v>
      </c>
      <c r="D154" s="3" t="s">
        <v>167</v>
      </c>
      <c r="E154" s="4">
        <v>45912</v>
      </c>
      <c r="F154" s="3" t="s">
        <v>66</v>
      </c>
      <c r="G154" s="3" t="s">
        <v>540</v>
      </c>
      <c r="H154" s="5" t="s">
        <v>564</v>
      </c>
      <c r="I154" s="5" t="s">
        <v>542</v>
      </c>
      <c r="J154" s="5" t="s">
        <v>70</v>
      </c>
      <c r="K154" s="3">
        <v>14041</v>
      </c>
      <c r="L154" s="3" t="s">
        <v>543</v>
      </c>
      <c r="M154" s="3" t="s">
        <v>544</v>
      </c>
      <c r="N154" s="3">
        <v>74</v>
      </c>
      <c r="O154" s="22" t="s">
        <v>565</v>
      </c>
      <c r="P154" s="3">
        <v>387</v>
      </c>
      <c r="Q154" s="21">
        <v>387</v>
      </c>
      <c r="R154" s="3" t="s">
        <v>74</v>
      </c>
      <c r="S154" s="21"/>
      <c r="T154" s="21"/>
      <c r="U154" s="21"/>
      <c r="V154" s="21" t="s">
        <v>66</v>
      </c>
      <c r="W154" s="21"/>
      <c r="X154" s="21"/>
      <c r="Y154" s="21"/>
      <c r="Z154" s="3">
        <v>10</v>
      </c>
      <c r="AA154" s="3">
        <f t="shared" si="1"/>
        <v>0</v>
      </c>
      <c r="AB154" s="21"/>
      <c r="AC154" s="21"/>
      <c r="AD154" s="21"/>
      <c r="AE154" s="3" t="s">
        <v>287</v>
      </c>
      <c r="AF154" s="3">
        <v>2.5</v>
      </c>
      <c r="AG154" s="3">
        <v>1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1</v>
      </c>
      <c r="AS154" s="3">
        <v>1</v>
      </c>
      <c r="AT154" s="3">
        <v>1</v>
      </c>
      <c r="AU154" s="3">
        <v>0</v>
      </c>
      <c r="AV154" s="3">
        <v>0</v>
      </c>
      <c r="AW154" s="3">
        <v>0</v>
      </c>
      <c r="AX154" s="3">
        <v>0</v>
      </c>
      <c r="AY154" s="3">
        <v>1</v>
      </c>
      <c r="AZ154" s="3" t="s">
        <v>566</v>
      </c>
    </row>
    <row r="155" spans="1:52">
      <c r="A155" s="3" t="s">
        <v>346</v>
      </c>
      <c r="B155" s="3" t="s">
        <v>538</v>
      </c>
      <c r="C155" s="3" t="s">
        <v>539</v>
      </c>
      <c r="D155" s="3" t="s">
        <v>167</v>
      </c>
      <c r="E155" s="4">
        <v>45912</v>
      </c>
      <c r="F155" s="3" t="s">
        <v>66</v>
      </c>
      <c r="G155" s="3" t="s">
        <v>540</v>
      </c>
      <c r="H155" s="5" t="s">
        <v>567</v>
      </c>
      <c r="I155" s="5" t="s">
        <v>542</v>
      </c>
      <c r="J155" s="5" t="s">
        <v>70</v>
      </c>
      <c r="K155" s="3">
        <v>14042</v>
      </c>
      <c r="L155" s="3" t="s">
        <v>543</v>
      </c>
      <c r="M155" s="3" t="s">
        <v>544</v>
      </c>
      <c r="N155" s="3">
        <v>74</v>
      </c>
      <c r="O155" s="3" t="s">
        <v>568</v>
      </c>
      <c r="P155" s="3">
        <v>388</v>
      </c>
      <c r="Q155" s="3">
        <v>388</v>
      </c>
      <c r="R155" s="3" t="s">
        <v>74</v>
      </c>
      <c r="S155" s="21"/>
      <c r="T155" s="21"/>
      <c r="U155" s="21"/>
      <c r="V155" s="21" t="s">
        <v>66</v>
      </c>
      <c r="W155" s="21"/>
      <c r="X155" s="21"/>
      <c r="Y155" s="21"/>
      <c r="Z155" s="3">
        <v>10</v>
      </c>
      <c r="AA155" s="3">
        <f t="shared" si="1"/>
        <v>0</v>
      </c>
      <c r="AB155" s="21"/>
      <c r="AC155" s="21"/>
      <c r="AD155" s="21"/>
      <c r="AE155" s="3" t="s">
        <v>76</v>
      </c>
      <c r="AF155" s="3">
        <v>2.5</v>
      </c>
      <c r="AG155" s="3">
        <v>1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1</v>
      </c>
      <c r="AR155" s="3">
        <v>0</v>
      </c>
      <c r="AS155" s="3">
        <v>1</v>
      </c>
      <c r="AT155" s="3">
        <v>1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 t="s">
        <v>569</v>
      </c>
    </row>
    <row r="156" spans="1:52">
      <c r="A156" s="3" t="s">
        <v>346</v>
      </c>
      <c r="B156" s="3" t="s">
        <v>538</v>
      </c>
      <c r="C156" s="3" t="s">
        <v>539</v>
      </c>
      <c r="D156" s="3" t="s">
        <v>167</v>
      </c>
      <c r="E156" s="4">
        <v>45912</v>
      </c>
      <c r="F156" s="3" t="s">
        <v>66</v>
      </c>
      <c r="G156" s="3" t="s">
        <v>540</v>
      </c>
      <c r="H156" s="5" t="s">
        <v>570</v>
      </c>
      <c r="I156" s="5" t="s">
        <v>542</v>
      </c>
      <c r="J156" s="5" t="s">
        <v>70</v>
      </c>
      <c r="K156" s="3">
        <v>14043</v>
      </c>
      <c r="L156" s="3" t="s">
        <v>543</v>
      </c>
      <c r="M156" s="3" t="s">
        <v>544</v>
      </c>
      <c r="N156" s="3">
        <v>74</v>
      </c>
      <c r="O156" s="3" t="s">
        <v>571</v>
      </c>
      <c r="P156" s="3">
        <v>389</v>
      </c>
      <c r="Q156" s="3">
        <v>389</v>
      </c>
      <c r="R156" s="3" t="s">
        <v>74</v>
      </c>
      <c r="S156" s="21"/>
      <c r="T156" s="21"/>
      <c r="U156" s="21"/>
      <c r="V156" s="21" t="s">
        <v>66</v>
      </c>
      <c r="W156" s="21"/>
      <c r="X156" s="21"/>
      <c r="Y156" s="21"/>
      <c r="Z156" s="3">
        <v>10</v>
      </c>
      <c r="AA156" s="3">
        <f t="shared" si="1"/>
        <v>0</v>
      </c>
      <c r="AB156" s="21"/>
      <c r="AC156" s="21"/>
      <c r="AD156" s="21"/>
      <c r="AE156" s="3" t="s">
        <v>76</v>
      </c>
      <c r="AF156" s="3">
        <v>2</v>
      </c>
      <c r="AG156" s="3">
        <v>1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1</v>
      </c>
      <c r="AS156" s="3">
        <v>1</v>
      </c>
      <c r="AT156" s="3">
        <v>1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 t="s">
        <v>572</v>
      </c>
    </row>
    <row r="157" spans="1:52">
      <c r="A157" s="3" t="s">
        <v>346</v>
      </c>
      <c r="B157" s="3" t="s">
        <v>538</v>
      </c>
      <c r="C157" s="3" t="s">
        <v>539</v>
      </c>
      <c r="D157" s="3" t="s">
        <v>167</v>
      </c>
      <c r="E157" s="4">
        <v>45912</v>
      </c>
      <c r="F157" s="3" t="s">
        <v>75</v>
      </c>
      <c r="G157" s="3" t="s">
        <v>573</v>
      </c>
      <c r="H157" s="3" t="s">
        <v>574</v>
      </c>
      <c r="I157" s="5" t="s">
        <v>575</v>
      </c>
      <c r="J157" s="5" t="s">
        <v>70</v>
      </c>
      <c r="K157" s="1">
        <v>14729</v>
      </c>
      <c r="L157" s="3">
        <v>42.399900000000002</v>
      </c>
      <c r="M157" s="3">
        <v>-78.769199999999998</v>
      </c>
      <c r="N157" s="27"/>
      <c r="O157" s="3" t="s">
        <v>576</v>
      </c>
      <c r="P157" s="3">
        <v>390</v>
      </c>
      <c r="Q157" s="3">
        <v>390</v>
      </c>
      <c r="R157" s="3" t="s">
        <v>74</v>
      </c>
      <c r="S157" s="3">
        <v>1</v>
      </c>
      <c r="T157" s="3">
        <v>0</v>
      </c>
      <c r="U157" s="3">
        <v>0</v>
      </c>
      <c r="V157" s="21" t="s">
        <v>66</v>
      </c>
      <c r="W157" s="3">
        <v>0</v>
      </c>
      <c r="X157" s="3">
        <v>1</v>
      </c>
      <c r="Y157" s="3">
        <v>0</v>
      </c>
      <c r="Z157" s="3">
        <v>10</v>
      </c>
      <c r="AA157" s="3">
        <f t="shared" si="1"/>
        <v>0</v>
      </c>
      <c r="AB157" s="21"/>
      <c r="AC157" s="21"/>
      <c r="AD157" s="21"/>
      <c r="AE157" s="3" t="s">
        <v>287</v>
      </c>
      <c r="AF157" s="3">
        <v>3</v>
      </c>
      <c r="AG157" s="3">
        <v>1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1</v>
      </c>
      <c r="AS157" s="3">
        <v>1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 t="s">
        <v>563</v>
      </c>
    </row>
    <row r="158" spans="1:52">
      <c r="A158" s="3" t="s">
        <v>346</v>
      </c>
      <c r="B158" s="3" t="s">
        <v>538</v>
      </c>
      <c r="C158" s="3" t="s">
        <v>539</v>
      </c>
      <c r="D158" s="3" t="s">
        <v>167</v>
      </c>
      <c r="E158" s="4">
        <v>45912</v>
      </c>
      <c r="F158" s="3" t="s">
        <v>75</v>
      </c>
      <c r="G158" s="3" t="s">
        <v>573</v>
      </c>
      <c r="H158" s="3" t="s">
        <v>574</v>
      </c>
      <c r="I158" s="5" t="s">
        <v>575</v>
      </c>
      <c r="J158" s="5" t="s">
        <v>70</v>
      </c>
      <c r="K158" s="1">
        <v>14729</v>
      </c>
      <c r="L158" s="3">
        <v>42.399900000000002</v>
      </c>
      <c r="M158" s="3">
        <v>-78.769199999999998</v>
      </c>
      <c r="N158" s="27"/>
      <c r="O158" s="3" t="s">
        <v>577</v>
      </c>
      <c r="P158" s="3">
        <v>391</v>
      </c>
      <c r="Q158" s="3">
        <v>391</v>
      </c>
      <c r="R158" s="3" t="s">
        <v>74</v>
      </c>
      <c r="S158" s="3">
        <v>1</v>
      </c>
      <c r="T158" s="3">
        <v>1</v>
      </c>
      <c r="U158" s="3">
        <v>0</v>
      </c>
      <c r="V158" s="21" t="s">
        <v>66</v>
      </c>
      <c r="W158" s="3">
        <v>0</v>
      </c>
      <c r="X158" s="3">
        <v>3</v>
      </c>
      <c r="Y158" s="3">
        <v>0</v>
      </c>
      <c r="Z158" s="3">
        <v>10</v>
      </c>
      <c r="AA158" s="3">
        <f t="shared" si="1"/>
        <v>0</v>
      </c>
      <c r="AB158" s="21"/>
      <c r="AC158" s="21"/>
      <c r="AD158" s="21"/>
      <c r="AE158" s="3" t="s">
        <v>76</v>
      </c>
      <c r="AF158" s="3">
        <v>2.5</v>
      </c>
      <c r="AG158" s="3">
        <v>1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1</v>
      </c>
      <c r="AT158" s="3">
        <v>1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 t="s">
        <v>578</v>
      </c>
    </row>
    <row r="159" spans="1:52">
      <c r="A159" s="3" t="s">
        <v>346</v>
      </c>
      <c r="B159" s="3" t="s">
        <v>538</v>
      </c>
      <c r="C159" s="3" t="s">
        <v>539</v>
      </c>
      <c r="D159" s="3" t="s">
        <v>167</v>
      </c>
      <c r="E159" s="4">
        <v>45912</v>
      </c>
      <c r="F159" s="3" t="s">
        <v>75</v>
      </c>
      <c r="G159" s="3" t="s">
        <v>573</v>
      </c>
      <c r="H159" s="3" t="s">
        <v>574</v>
      </c>
      <c r="I159" s="5" t="s">
        <v>575</v>
      </c>
      <c r="J159" s="5" t="s">
        <v>70</v>
      </c>
      <c r="K159" s="1">
        <v>14729</v>
      </c>
      <c r="L159" s="3">
        <v>42.399900000000002</v>
      </c>
      <c r="M159" s="3">
        <v>-78.769199999999998</v>
      </c>
      <c r="N159" s="27"/>
      <c r="O159" s="3" t="s">
        <v>579</v>
      </c>
      <c r="P159" s="3">
        <v>392</v>
      </c>
      <c r="Q159" s="3">
        <v>392</v>
      </c>
      <c r="R159" s="3" t="s">
        <v>74</v>
      </c>
      <c r="S159" s="3">
        <v>1</v>
      </c>
      <c r="T159" s="3">
        <v>1</v>
      </c>
      <c r="U159" s="3">
        <v>0</v>
      </c>
      <c r="V159" s="21" t="s">
        <v>66</v>
      </c>
      <c r="W159" s="3">
        <v>0</v>
      </c>
      <c r="X159" s="3">
        <v>3</v>
      </c>
      <c r="Y159" s="3">
        <v>0</v>
      </c>
      <c r="Z159" s="3">
        <v>10</v>
      </c>
      <c r="AA159" s="3">
        <f t="shared" si="1"/>
        <v>0</v>
      </c>
      <c r="AB159" s="21"/>
      <c r="AC159" s="21"/>
      <c r="AD159" s="21"/>
      <c r="AE159" s="3" t="s">
        <v>76</v>
      </c>
      <c r="AF159" s="3">
        <v>3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1</v>
      </c>
      <c r="AT159" s="3">
        <v>1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 t="s">
        <v>580</v>
      </c>
    </row>
    <row r="160" spans="1:52">
      <c r="A160" s="3" t="s">
        <v>346</v>
      </c>
      <c r="B160" s="3" t="s">
        <v>538</v>
      </c>
      <c r="C160" s="3" t="s">
        <v>539</v>
      </c>
      <c r="D160" s="3" t="s">
        <v>167</v>
      </c>
      <c r="E160" s="4">
        <v>45912</v>
      </c>
      <c r="F160" s="3" t="s">
        <v>75</v>
      </c>
      <c r="G160" s="3" t="s">
        <v>573</v>
      </c>
      <c r="H160" s="3" t="s">
        <v>574</v>
      </c>
      <c r="I160" s="5" t="s">
        <v>575</v>
      </c>
      <c r="J160" s="5" t="s">
        <v>70</v>
      </c>
      <c r="K160" s="1">
        <v>14729</v>
      </c>
      <c r="L160" s="3">
        <v>42.399900000000002</v>
      </c>
      <c r="M160" s="3">
        <v>-78.769199999999998</v>
      </c>
      <c r="N160" s="27"/>
      <c r="O160" s="3" t="s">
        <v>581</v>
      </c>
      <c r="P160" s="3">
        <v>393</v>
      </c>
      <c r="Q160" s="3">
        <v>393</v>
      </c>
      <c r="R160" s="3" t="s">
        <v>74</v>
      </c>
      <c r="S160" s="3">
        <v>1</v>
      </c>
      <c r="T160" s="3">
        <v>0</v>
      </c>
      <c r="U160" s="3">
        <v>0</v>
      </c>
      <c r="V160" s="21" t="s">
        <v>66</v>
      </c>
      <c r="W160" s="3">
        <v>0</v>
      </c>
      <c r="X160" s="3">
        <v>3</v>
      </c>
      <c r="Y160" s="3">
        <v>0</v>
      </c>
      <c r="Z160" s="3">
        <v>10</v>
      </c>
      <c r="AA160" s="3">
        <f t="shared" si="1"/>
        <v>0</v>
      </c>
      <c r="AB160" s="21"/>
      <c r="AC160" s="21"/>
      <c r="AD160" s="21"/>
      <c r="AE160" s="3" t="s">
        <v>287</v>
      </c>
      <c r="AF160" s="3">
        <v>2.5</v>
      </c>
      <c r="AG160" s="3">
        <v>1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1</v>
      </c>
      <c r="AR160" s="3">
        <v>1</v>
      </c>
      <c r="AS160" s="3">
        <v>1</v>
      </c>
      <c r="AT160" s="3">
        <v>1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 t="s">
        <v>582</v>
      </c>
    </row>
    <row r="161" spans="1:52">
      <c r="A161" s="3" t="s">
        <v>346</v>
      </c>
      <c r="B161" s="3" t="s">
        <v>538</v>
      </c>
      <c r="C161" s="3" t="s">
        <v>539</v>
      </c>
      <c r="D161" s="3" t="s">
        <v>167</v>
      </c>
      <c r="E161" s="4">
        <v>45912</v>
      </c>
      <c r="F161" s="3" t="s">
        <v>75</v>
      </c>
      <c r="G161" s="3" t="s">
        <v>573</v>
      </c>
      <c r="H161" s="3" t="s">
        <v>574</v>
      </c>
      <c r="I161" s="5" t="s">
        <v>575</v>
      </c>
      <c r="J161" s="5" t="s">
        <v>70</v>
      </c>
      <c r="K161" s="1">
        <v>14729</v>
      </c>
      <c r="L161" s="3">
        <v>42.399900000000002</v>
      </c>
      <c r="M161" s="3">
        <v>-78.769199999999998</v>
      </c>
      <c r="N161" s="27"/>
      <c r="O161" s="3" t="s">
        <v>583</v>
      </c>
      <c r="P161" s="3">
        <v>394</v>
      </c>
      <c r="Q161" s="3">
        <v>394</v>
      </c>
      <c r="R161" s="3" t="s">
        <v>74</v>
      </c>
      <c r="S161" s="3">
        <v>1</v>
      </c>
      <c r="T161" s="3">
        <v>1</v>
      </c>
      <c r="U161" s="3">
        <v>0</v>
      </c>
      <c r="V161" s="21" t="s">
        <v>66</v>
      </c>
      <c r="W161" s="3">
        <v>0</v>
      </c>
      <c r="X161" s="3">
        <v>3</v>
      </c>
      <c r="Y161" s="3">
        <v>0</v>
      </c>
      <c r="Z161" s="3">
        <v>10</v>
      </c>
      <c r="AA161" s="3">
        <f t="shared" si="1"/>
        <v>0</v>
      </c>
      <c r="AB161" s="21"/>
      <c r="AC161" s="21"/>
      <c r="AD161" s="21"/>
      <c r="AE161" s="3" t="s">
        <v>76</v>
      </c>
      <c r="AF161" s="3">
        <v>3</v>
      </c>
      <c r="AG161" s="3">
        <v>1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1</v>
      </c>
      <c r="AR161" s="3">
        <v>1</v>
      </c>
      <c r="AS161" s="3">
        <v>1</v>
      </c>
      <c r="AT161" s="3">
        <v>1</v>
      </c>
      <c r="AU161" s="3">
        <v>0</v>
      </c>
      <c r="AV161" s="3">
        <v>0</v>
      </c>
      <c r="AW161" s="3">
        <v>0</v>
      </c>
      <c r="AX161" s="3">
        <v>0</v>
      </c>
      <c r="AY161" s="3">
        <v>1</v>
      </c>
      <c r="AZ161" s="3" t="s">
        <v>584</v>
      </c>
    </row>
    <row r="162" spans="1:52">
      <c r="A162" s="3" t="s">
        <v>346</v>
      </c>
      <c r="B162" s="3" t="s">
        <v>538</v>
      </c>
      <c r="C162" s="3" t="s">
        <v>539</v>
      </c>
      <c r="D162" s="3" t="s">
        <v>167</v>
      </c>
      <c r="E162" s="4">
        <v>45912</v>
      </c>
      <c r="F162" s="3" t="s">
        <v>75</v>
      </c>
      <c r="G162" s="3" t="s">
        <v>573</v>
      </c>
      <c r="H162" s="3" t="s">
        <v>574</v>
      </c>
      <c r="I162" s="5" t="s">
        <v>575</v>
      </c>
      <c r="J162" s="5" t="s">
        <v>70</v>
      </c>
      <c r="K162" s="1">
        <v>14729</v>
      </c>
      <c r="L162" s="3">
        <v>42.399900000000002</v>
      </c>
      <c r="M162" s="3">
        <v>-78.769199999999998</v>
      </c>
      <c r="N162" s="27"/>
      <c r="O162" s="3" t="s">
        <v>585</v>
      </c>
      <c r="P162" s="3">
        <v>395</v>
      </c>
      <c r="Q162" s="3">
        <v>395</v>
      </c>
      <c r="R162" s="3" t="s">
        <v>74</v>
      </c>
      <c r="S162" s="3">
        <v>1</v>
      </c>
      <c r="T162" s="3">
        <v>1</v>
      </c>
      <c r="U162" s="3">
        <v>0</v>
      </c>
      <c r="V162" s="21" t="s">
        <v>66</v>
      </c>
      <c r="W162" s="3">
        <v>1</v>
      </c>
      <c r="X162" s="3">
        <v>1</v>
      </c>
      <c r="Y162" s="3">
        <v>0</v>
      </c>
      <c r="Z162" s="3">
        <v>10</v>
      </c>
      <c r="AA162" s="3">
        <f t="shared" si="1"/>
        <v>0</v>
      </c>
      <c r="AB162" s="21"/>
      <c r="AC162" s="21"/>
      <c r="AD162" s="21"/>
      <c r="AE162" s="3" t="s">
        <v>287</v>
      </c>
      <c r="AF162" s="3">
        <v>2</v>
      </c>
      <c r="AG162" s="3">
        <v>1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1</v>
      </c>
      <c r="AO162" s="3">
        <v>0</v>
      </c>
      <c r="AP162" s="3">
        <v>0</v>
      </c>
      <c r="AQ162" s="3">
        <v>1</v>
      </c>
      <c r="AR162" s="3">
        <v>0</v>
      </c>
      <c r="AS162" s="3">
        <v>1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1</v>
      </c>
      <c r="AZ162" s="3" t="s">
        <v>586</v>
      </c>
    </row>
    <row r="163" spans="1:52">
      <c r="A163" s="3" t="s">
        <v>346</v>
      </c>
      <c r="B163" s="3" t="s">
        <v>538</v>
      </c>
      <c r="C163" s="3" t="s">
        <v>539</v>
      </c>
      <c r="D163" s="3" t="s">
        <v>167</v>
      </c>
      <c r="E163" s="4">
        <v>45912</v>
      </c>
      <c r="F163" s="3" t="s">
        <v>75</v>
      </c>
      <c r="G163" s="3" t="s">
        <v>573</v>
      </c>
      <c r="H163" s="3" t="s">
        <v>574</v>
      </c>
      <c r="I163" s="5" t="s">
        <v>575</v>
      </c>
      <c r="J163" s="5" t="s">
        <v>70</v>
      </c>
      <c r="K163" s="1">
        <v>14729</v>
      </c>
      <c r="L163" s="3">
        <v>42.399900000000002</v>
      </c>
      <c r="M163" s="3">
        <v>-78.769199999999998</v>
      </c>
      <c r="N163" s="27"/>
      <c r="O163" s="3" t="s">
        <v>587</v>
      </c>
      <c r="P163" s="3">
        <v>396</v>
      </c>
      <c r="Q163" s="3">
        <v>396</v>
      </c>
      <c r="R163" s="3" t="s">
        <v>74</v>
      </c>
      <c r="S163" s="3">
        <v>1</v>
      </c>
      <c r="T163" s="3">
        <v>1</v>
      </c>
      <c r="U163" s="3">
        <v>0</v>
      </c>
      <c r="V163" s="21" t="s">
        <v>66</v>
      </c>
      <c r="W163" s="3">
        <v>0</v>
      </c>
      <c r="X163" s="3">
        <v>2</v>
      </c>
      <c r="Y163" s="3">
        <v>0</v>
      </c>
      <c r="Z163" s="3">
        <v>10</v>
      </c>
      <c r="AA163" s="3">
        <f t="shared" si="1"/>
        <v>0</v>
      </c>
      <c r="AB163" s="21"/>
      <c r="AC163" s="21"/>
      <c r="AD163" s="21"/>
      <c r="AE163" s="3" t="s">
        <v>287</v>
      </c>
      <c r="AF163" s="3">
        <v>2</v>
      </c>
      <c r="AG163" s="3">
        <v>1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1</v>
      </c>
      <c r="AO163" s="3">
        <v>0</v>
      </c>
      <c r="AP163" s="3">
        <v>0</v>
      </c>
      <c r="AQ163" s="3">
        <v>1</v>
      </c>
      <c r="AR163" s="3">
        <v>0</v>
      </c>
      <c r="AS163" s="3">
        <v>1</v>
      </c>
      <c r="AT163" s="3">
        <v>1</v>
      </c>
      <c r="AU163" s="3">
        <v>0</v>
      </c>
      <c r="AV163" s="3">
        <v>0</v>
      </c>
      <c r="AW163" s="3">
        <v>0</v>
      </c>
      <c r="AX163" s="3">
        <v>0</v>
      </c>
      <c r="AY163" s="3">
        <v>1</v>
      </c>
      <c r="AZ163" s="3" t="s">
        <v>588</v>
      </c>
    </row>
    <row r="164" spans="1:52">
      <c r="A164" s="3" t="s">
        <v>346</v>
      </c>
      <c r="B164" s="3" t="s">
        <v>538</v>
      </c>
      <c r="C164" s="3" t="s">
        <v>539</v>
      </c>
      <c r="D164" s="3" t="s">
        <v>167</v>
      </c>
      <c r="E164" s="4">
        <v>45912</v>
      </c>
      <c r="F164" s="3" t="s">
        <v>75</v>
      </c>
      <c r="G164" s="3" t="s">
        <v>573</v>
      </c>
      <c r="H164" s="3" t="s">
        <v>574</v>
      </c>
      <c r="I164" s="5" t="s">
        <v>575</v>
      </c>
      <c r="J164" s="5" t="s">
        <v>70</v>
      </c>
      <c r="K164" s="1">
        <v>14729</v>
      </c>
      <c r="L164" s="3">
        <v>42.399900000000002</v>
      </c>
      <c r="M164" s="3">
        <v>-78.769199999999998</v>
      </c>
      <c r="N164" s="27"/>
      <c r="O164" s="3" t="s">
        <v>589</v>
      </c>
      <c r="P164" s="3">
        <v>397</v>
      </c>
      <c r="Q164" s="3">
        <v>397</v>
      </c>
      <c r="R164" s="3" t="s">
        <v>74</v>
      </c>
      <c r="S164" s="3">
        <v>1</v>
      </c>
      <c r="T164" s="3">
        <v>1</v>
      </c>
      <c r="U164" s="3">
        <v>0</v>
      </c>
      <c r="V164" s="21" t="s">
        <v>66</v>
      </c>
      <c r="W164" s="3">
        <v>0</v>
      </c>
      <c r="X164" s="3">
        <v>3</v>
      </c>
      <c r="Y164" s="3">
        <v>0</v>
      </c>
      <c r="Z164" s="3">
        <v>10</v>
      </c>
      <c r="AA164" s="3">
        <f t="shared" si="1"/>
        <v>0</v>
      </c>
      <c r="AB164" s="21"/>
      <c r="AC164" s="21"/>
      <c r="AD164" s="21"/>
      <c r="AE164" s="3" t="s">
        <v>287</v>
      </c>
      <c r="AF164" s="3">
        <v>2.5</v>
      </c>
      <c r="AG164" s="3">
        <v>1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1</v>
      </c>
      <c r="AR164" s="3">
        <v>0</v>
      </c>
      <c r="AS164" s="3">
        <v>1</v>
      </c>
      <c r="AT164" s="3">
        <v>1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 t="s">
        <v>557</v>
      </c>
    </row>
    <row r="165" spans="1:52">
      <c r="A165" s="3" t="s">
        <v>346</v>
      </c>
      <c r="B165" s="3" t="s">
        <v>538</v>
      </c>
      <c r="C165" s="3" t="s">
        <v>539</v>
      </c>
      <c r="D165" s="3" t="s">
        <v>167</v>
      </c>
      <c r="E165" s="4">
        <v>45912</v>
      </c>
      <c r="F165" s="3" t="s">
        <v>75</v>
      </c>
      <c r="G165" s="3" t="s">
        <v>573</v>
      </c>
      <c r="H165" s="3" t="s">
        <v>574</v>
      </c>
      <c r="I165" s="5" t="s">
        <v>575</v>
      </c>
      <c r="J165" s="5" t="s">
        <v>70</v>
      </c>
      <c r="K165" s="1">
        <v>14729</v>
      </c>
      <c r="L165" s="3">
        <v>42.399900000000002</v>
      </c>
      <c r="M165" s="3">
        <v>-78.769199999999998</v>
      </c>
      <c r="N165" s="27"/>
      <c r="O165" s="22" t="s">
        <v>590</v>
      </c>
      <c r="P165" s="3">
        <v>398</v>
      </c>
      <c r="Q165" s="3">
        <v>398</v>
      </c>
      <c r="R165" s="3" t="s">
        <v>74</v>
      </c>
      <c r="S165" s="3">
        <v>1</v>
      </c>
      <c r="T165" s="3">
        <v>1</v>
      </c>
      <c r="U165" s="3">
        <v>0</v>
      </c>
      <c r="V165" s="21" t="s">
        <v>66</v>
      </c>
      <c r="W165" s="3">
        <v>0</v>
      </c>
      <c r="X165" s="3">
        <v>3</v>
      </c>
      <c r="Y165" s="3">
        <v>0</v>
      </c>
      <c r="Z165" s="3">
        <v>10</v>
      </c>
      <c r="AA165" s="3">
        <f t="shared" si="1"/>
        <v>0</v>
      </c>
      <c r="AB165" s="21"/>
      <c r="AC165" s="21"/>
      <c r="AD165" s="21"/>
      <c r="AE165" s="3" t="s">
        <v>287</v>
      </c>
      <c r="AF165" s="3">
        <v>2.5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1</v>
      </c>
      <c r="AR165" s="3">
        <v>0</v>
      </c>
      <c r="AS165" s="3">
        <v>1</v>
      </c>
      <c r="AT165" s="3">
        <v>1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 t="s">
        <v>591</v>
      </c>
    </row>
    <row r="166" spans="1:52">
      <c r="A166" s="3" t="s">
        <v>346</v>
      </c>
      <c r="B166" s="3" t="s">
        <v>538</v>
      </c>
      <c r="C166" s="3" t="s">
        <v>539</v>
      </c>
      <c r="D166" s="3" t="s">
        <v>167</v>
      </c>
      <c r="E166" s="4">
        <v>45912</v>
      </c>
      <c r="F166" s="3" t="s">
        <v>75</v>
      </c>
      <c r="G166" s="3" t="s">
        <v>573</v>
      </c>
      <c r="H166" s="3" t="s">
        <v>574</v>
      </c>
      <c r="I166" s="5" t="s">
        <v>575</v>
      </c>
      <c r="J166" s="5" t="s">
        <v>70</v>
      </c>
      <c r="K166" s="1">
        <v>14729</v>
      </c>
      <c r="L166" s="3">
        <v>42.399900000000002</v>
      </c>
      <c r="M166" s="3">
        <v>-78.769199999999998</v>
      </c>
      <c r="N166" s="27"/>
      <c r="O166" s="3" t="s">
        <v>592</v>
      </c>
      <c r="P166" s="3">
        <v>399</v>
      </c>
      <c r="Q166" s="3">
        <v>399</v>
      </c>
      <c r="R166" s="3" t="s">
        <v>74</v>
      </c>
      <c r="S166" s="3">
        <v>1</v>
      </c>
      <c r="T166" s="3">
        <v>1</v>
      </c>
      <c r="U166" s="3">
        <v>0</v>
      </c>
      <c r="V166" s="21" t="s">
        <v>66</v>
      </c>
      <c r="W166" s="3">
        <v>0</v>
      </c>
      <c r="X166" s="3">
        <v>1</v>
      </c>
      <c r="Y166" s="3">
        <v>0</v>
      </c>
      <c r="Z166" s="3">
        <v>10</v>
      </c>
      <c r="AA166" s="3">
        <f t="shared" si="1"/>
        <v>0</v>
      </c>
      <c r="AB166" s="21"/>
      <c r="AC166" s="21"/>
      <c r="AD166" s="21"/>
      <c r="AE166" s="3" t="s">
        <v>76</v>
      </c>
      <c r="AF166" s="3">
        <v>2</v>
      </c>
      <c r="AG166" s="3">
        <v>1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1</v>
      </c>
      <c r="AR166" s="3">
        <v>1</v>
      </c>
      <c r="AS166" s="3">
        <v>1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 t="s">
        <v>593</v>
      </c>
    </row>
  </sheetData>
  <autoFilter ref="A1:BJ166" xr:uid="{939142FF-1069-4023-AE45-D6E185C6866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Connor Hinsley</dc:creator>
  <cp:keywords/>
  <dc:description/>
  <cp:lastModifiedBy>Emily O'Neil</cp:lastModifiedBy>
  <cp:revision/>
  <dcterms:created xsi:type="dcterms:W3CDTF">2021-06-01T19:36:38Z</dcterms:created>
  <dcterms:modified xsi:type="dcterms:W3CDTF">2025-09-24T19:32:02Z</dcterms:modified>
  <cp:category/>
  <cp:contentStatus/>
</cp:coreProperties>
</file>